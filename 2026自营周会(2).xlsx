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infos.xml" ContentType="application/vnd.wps-officedocument.woinfo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mc:AlternateContent xmlns:mc="http://schemas.openxmlformats.org/markup-compatibility/2006">
    <mc:Choice Requires="x15">
      <x15ac:absPath xmlns:x15ac="http://schemas.microsoft.com/office/spreadsheetml/2010/11/ac" url="C:\Users\Lenovo\Desktop\"/>
    </mc:Choice>
  </mc:AlternateContent>
  <xr:revisionPtr revIDLastSave="0" documentId="13_ncr:1_{055167FF-6919-4A82-8C8A-9B0B63EC8054}" xr6:coauthVersionLast="47" xr6:coauthVersionMax="47" xr10:uidLastSave="{00000000-0000-0000-0000-000000000000}"/>
  <bookViews>
    <workbookView xWindow="-120" yWindow="-120" windowWidth="29040" windowHeight="15840" activeTab="15" xr2:uid="{00000000-000D-0000-FFFF-FFFF00000000}"/>
  </bookViews>
  <sheets>
    <sheet name="1月" sheetId="1" r:id="rId1"/>
    <sheet name="2月1日-3日" sheetId="3" state="hidden" r:id="rId2"/>
    <sheet name="2月1日-10日" sheetId="5" state="hidden" r:id="rId3"/>
    <sheet name="2月" sheetId="7" r:id="rId4"/>
    <sheet name="3月" sheetId="12" r:id="rId5"/>
    <sheet name="5月1日-27日" sheetId="26" state="hidden" r:id="rId6"/>
    <sheet name="5月" sheetId="30" r:id="rId7"/>
    <sheet name="3月1日-9日" sheetId="8" state="hidden" r:id="rId8"/>
    <sheet name="3月1日-23日" sheetId="10" state="hidden" r:id="rId9"/>
    <sheet name="4月1日-13日" sheetId="17" state="hidden" r:id="rId10"/>
    <sheet name="4月1日-27日 " sheetId="20" state="hidden" r:id="rId11"/>
    <sheet name="4月1日-30日" sheetId="24" state="hidden" r:id="rId12"/>
    <sheet name="5月1日-11日" sheetId="22" state="hidden" r:id="rId13"/>
    <sheet name="6.1日-6.8日" sheetId="28" r:id="rId14"/>
    <sheet name="6.1-6.22日周会" sheetId="32" r:id="rId15"/>
    <sheet name="市占" sheetId="14" r:id="rId1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45" i="14" l="1"/>
  <c r="F45" i="14"/>
  <c r="E45" i="14"/>
  <c r="D45" i="14"/>
  <c r="G44" i="14"/>
  <c r="F44" i="14"/>
  <c r="E44" i="14"/>
  <c r="D44" i="14"/>
  <c r="G43" i="14"/>
  <c r="F43" i="14"/>
  <c r="E43" i="14"/>
  <c r="D43" i="14"/>
  <c r="D41" i="14"/>
  <c r="D40" i="14"/>
  <c r="G39" i="14"/>
  <c r="F39" i="14"/>
  <c r="E39" i="14"/>
  <c r="D39" i="14"/>
  <c r="G38" i="14"/>
  <c r="F38" i="14"/>
  <c r="E38" i="14"/>
  <c r="D38" i="14"/>
  <c r="G37" i="14"/>
  <c r="F37" i="14"/>
  <c r="E37" i="14"/>
  <c r="D37" i="14"/>
  <c r="E34" i="14"/>
  <c r="E33" i="14"/>
  <c r="D32" i="14"/>
  <c r="C32" i="14"/>
  <c r="B32" i="14"/>
  <c r="D31" i="14"/>
  <c r="C31" i="14"/>
  <c r="B31" i="14"/>
  <c r="G30" i="14"/>
  <c r="F30" i="14"/>
  <c r="E30" i="14"/>
  <c r="D30" i="14"/>
  <c r="C30" i="14"/>
  <c r="B30" i="14"/>
  <c r="G29" i="14"/>
  <c r="F29" i="14"/>
  <c r="E29" i="14"/>
  <c r="D29" i="14"/>
  <c r="C29" i="14"/>
  <c r="B29" i="14"/>
  <c r="G28" i="14"/>
  <c r="F28" i="14"/>
  <c r="E28" i="14"/>
  <c r="D28" i="14"/>
  <c r="C28" i="14"/>
  <c r="B28" i="14"/>
  <c r="D24" i="14"/>
  <c r="D23" i="14"/>
  <c r="G22" i="14"/>
  <c r="F22" i="14"/>
  <c r="E22" i="14"/>
  <c r="D22" i="14"/>
  <c r="G21" i="14"/>
  <c r="F21" i="14"/>
  <c r="E21" i="14"/>
  <c r="D21" i="14"/>
  <c r="G20" i="14"/>
  <c r="F20" i="14"/>
  <c r="E20" i="14"/>
  <c r="D20" i="14"/>
  <c r="D16" i="14"/>
  <c r="D15" i="14"/>
  <c r="D14" i="14"/>
  <c r="D13" i="14"/>
  <c r="G12" i="14"/>
  <c r="F12" i="14"/>
  <c r="E12" i="14"/>
  <c r="D12" i="14"/>
  <c r="G11" i="14"/>
  <c r="F11" i="14"/>
  <c r="E11" i="14"/>
  <c r="D11" i="14"/>
  <c r="G10" i="14"/>
  <c r="F10" i="14"/>
  <c r="E10" i="14"/>
  <c r="D10" i="14"/>
  <c r="D7" i="14"/>
  <c r="D6" i="14"/>
  <c r="D5" i="14"/>
  <c r="G4" i="14"/>
  <c r="F4" i="14"/>
  <c r="E4" i="14"/>
  <c r="D4" i="14"/>
  <c r="G3" i="14"/>
  <c r="F3" i="14"/>
  <c r="E3" i="14"/>
  <c r="D3" i="14"/>
  <c r="G2" i="14"/>
  <c r="F2" i="14"/>
  <c r="E2" i="14"/>
  <c r="D2" i="14"/>
  <c r="E81" i="32"/>
  <c r="E80" i="32"/>
  <c r="E79" i="32"/>
  <c r="N78" i="32"/>
  <c r="N77" i="32"/>
  <c r="N76" i="32"/>
  <c r="N75" i="32"/>
  <c r="N74" i="32"/>
  <c r="N73" i="32"/>
  <c r="G53" i="32"/>
  <c r="F53" i="32"/>
  <c r="G52" i="32"/>
  <c r="F52" i="32"/>
  <c r="G51" i="32"/>
  <c r="F51" i="32"/>
  <c r="G50" i="32"/>
  <c r="F50" i="32"/>
  <c r="H46" i="32"/>
  <c r="H45" i="32"/>
  <c r="H44" i="32"/>
  <c r="H43" i="32"/>
  <c r="H42" i="32"/>
  <c r="G42" i="32"/>
  <c r="H41" i="32"/>
  <c r="G41" i="32"/>
  <c r="H40" i="32"/>
  <c r="H39" i="32"/>
  <c r="H38" i="32"/>
  <c r="G38" i="32"/>
  <c r="H37" i="32"/>
  <c r="G37" i="32"/>
  <c r="H36" i="32"/>
  <c r="G36" i="32"/>
  <c r="H35" i="32"/>
  <c r="G35" i="32"/>
  <c r="H34" i="32"/>
  <c r="G34" i="32"/>
  <c r="H33" i="32"/>
  <c r="G33" i="32"/>
  <c r="H32" i="32"/>
  <c r="G32" i="32"/>
  <c r="H31" i="32"/>
  <c r="G31" i="32"/>
  <c r="H30" i="32"/>
  <c r="G30" i="32"/>
  <c r="H29" i="32"/>
  <c r="G29" i="32"/>
  <c r="H28" i="32"/>
  <c r="G28" i="32"/>
  <c r="H27" i="32"/>
  <c r="G27" i="32"/>
  <c r="H26" i="32"/>
  <c r="G26" i="32"/>
  <c r="H25" i="32"/>
  <c r="G25" i="32"/>
  <c r="F18" i="32"/>
  <c r="E18" i="32"/>
  <c r="F17" i="32"/>
  <c r="E17" i="32"/>
  <c r="F16" i="32"/>
  <c r="E16" i="32"/>
  <c r="F15" i="32"/>
  <c r="E15" i="32"/>
  <c r="F14" i="32"/>
  <c r="E14" i="32"/>
  <c r="F13" i="32"/>
  <c r="E13" i="32"/>
  <c r="F12" i="32"/>
  <c r="E12" i="32"/>
  <c r="D7" i="32"/>
  <c r="D6" i="32"/>
  <c r="G5" i="32"/>
  <c r="F5" i="32"/>
  <c r="E5" i="32"/>
  <c r="D5" i="32"/>
  <c r="G4" i="32"/>
  <c r="F4" i="32"/>
  <c r="E4" i="32"/>
  <c r="D4" i="32"/>
  <c r="G3" i="32"/>
  <c r="F3" i="32"/>
  <c r="E3" i="32"/>
  <c r="D3" i="32"/>
  <c r="E80" i="28"/>
  <c r="E79" i="28"/>
  <c r="E78" i="28"/>
  <c r="N77" i="28"/>
  <c r="N76" i="28"/>
  <c r="N75" i="28"/>
  <c r="N74" i="28"/>
  <c r="N73" i="28"/>
  <c r="N72" i="28"/>
  <c r="C60" i="28"/>
  <c r="B60" i="28"/>
  <c r="G52" i="28"/>
  <c r="F52" i="28"/>
  <c r="G51" i="28"/>
  <c r="F51" i="28"/>
  <c r="G50" i="28"/>
  <c r="F50" i="28"/>
  <c r="G49" i="28"/>
  <c r="F49" i="28"/>
  <c r="H45" i="28"/>
  <c r="H44" i="28"/>
  <c r="H43" i="28"/>
  <c r="H42" i="28"/>
  <c r="H41" i="28"/>
  <c r="G41" i="28"/>
  <c r="H40" i="28"/>
  <c r="G40" i="28"/>
  <c r="H39" i="28"/>
  <c r="H38" i="28"/>
  <c r="G38" i="28"/>
  <c r="H37" i="28"/>
  <c r="G37" i="28"/>
  <c r="H36" i="28"/>
  <c r="G36" i="28"/>
  <c r="H35" i="28"/>
  <c r="G35" i="28"/>
  <c r="H34" i="28"/>
  <c r="G34" i="28"/>
  <c r="H33" i="28"/>
  <c r="G33" i="28"/>
  <c r="H32" i="28"/>
  <c r="G32" i="28"/>
  <c r="H31" i="28"/>
  <c r="G31" i="28"/>
  <c r="H30" i="28"/>
  <c r="H29" i="28"/>
  <c r="H28" i="28"/>
  <c r="G28" i="28"/>
  <c r="H27" i="28"/>
  <c r="G27" i="28"/>
  <c r="H26" i="28"/>
  <c r="G26" i="28"/>
  <c r="H25" i="28"/>
  <c r="G25" i="28"/>
  <c r="F18" i="28"/>
  <c r="E18" i="28"/>
  <c r="F17" i="28"/>
  <c r="E17" i="28"/>
  <c r="F16" i="28"/>
  <c r="E16" i="28"/>
  <c r="F15" i="28"/>
  <c r="E15" i="28"/>
  <c r="F14" i="28"/>
  <c r="E14" i="28"/>
  <c r="F13" i="28"/>
  <c r="E13" i="28"/>
  <c r="F12" i="28"/>
  <c r="E12" i="28"/>
  <c r="D7" i="28"/>
  <c r="D6" i="28"/>
  <c r="G5" i="28"/>
  <c r="F5" i="28"/>
  <c r="E5" i="28"/>
  <c r="D5" i="28"/>
  <c r="G4" i="28"/>
  <c r="F4" i="28"/>
  <c r="E4" i="28"/>
  <c r="D4" i="28"/>
  <c r="G3" i="28"/>
  <c r="F3" i="28"/>
  <c r="E3" i="28"/>
  <c r="D3" i="28"/>
  <c r="N77" i="22"/>
  <c r="N76" i="22"/>
  <c r="N75" i="22"/>
  <c r="N74" i="22"/>
  <c r="E74" i="22"/>
  <c r="N73" i="22"/>
  <c r="E73" i="22"/>
  <c r="N72" i="22"/>
  <c r="E72" i="22"/>
  <c r="C60" i="22"/>
  <c r="B60" i="22"/>
  <c r="G52" i="22"/>
  <c r="F52" i="22"/>
  <c r="G51" i="22"/>
  <c r="F51" i="22"/>
  <c r="G50" i="22"/>
  <c r="F50" i="22"/>
  <c r="G49" i="22"/>
  <c r="F49" i="22"/>
  <c r="H44" i="22"/>
  <c r="H43" i="22"/>
  <c r="H42" i="22"/>
  <c r="H41" i="22"/>
  <c r="H40" i="22"/>
  <c r="H39" i="22"/>
  <c r="G39" i="22"/>
  <c r="H38" i="22"/>
  <c r="G38" i="22"/>
  <c r="H37" i="22"/>
  <c r="G37" i="22"/>
  <c r="H36" i="22"/>
  <c r="G36" i="22"/>
  <c r="H35" i="22"/>
  <c r="G35" i="22"/>
  <c r="H34" i="22"/>
  <c r="G34" i="22"/>
  <c r="H33" i="22"/>
  <c r="G33" i="22"/>
  <c r="H32" i="22"/>
  <c r="G32" i="22"/>
  <c r="H31" i="22"/>
  <c r="H30" i="22"/>
  <c r="H29" i="22"/>
  <c r="H28" i="22"/>
  <c r="G28" i="22"/>
  <c r="H27" i="22"/>
  <c r="G27" i="22"/>
  <c r="H26" i="22"/>
  <c r="G26" i="22"/>
  <c r="H25" i="22"/>
  <c r="G25" i="22"/>
  <c r="F18" i="22"/>
  <c r="E18" i="22"/>
  <c r="F17" i="22"/>
  <c r="E17" i="22"/>
  <c r="F16" i="22"/>
  <c r="F15" i="22"/>
  <c r="E15" i="22"/>
  <c r="F14" i="22"/>
  <c r="E14" i="22"/>
  <c r="F13" i="22"/>
  <c r="E13" i="22"/>
  <c r="F12" i="22"/>
  <c r="E12" i="22"/>
  <c r="D7" i="22"/>
  <c r="D6" i="22"/>
  <c r="G5" i="22"/>
  <c r="F5" i="22"/>
  <c r="E5" i="22"/>
  <c r="D5" i="22"/>
  <c r="G4" i="22"/>
  <c r="F4" i="22"/>
  <c r="E4" i="22"/>
  <c r="D4" i="22"/>
  <c r="G3" i="22"/>
  <c r="F3" i="22"/>
  <c r="E3" i="22"/>
  <c r="D3" i="22"/>
  <c r="N77" i="24"/>
  <c r="N76" i="24"/>
  <c r="N75" i="24"/>
  <c r="N74" i="24"/>
  <c r="E74" i="24"/>
  <c r="N73" i="24"/>
  <c r="E73" i="24"/>
  <c r="N72" i="24"/>
  <c r="E72" i="24"/>
  <c r="G52" i="24"/>
  <c r="F52" i="24"/>
  <c r="G51" i="24"/>
  <c r="F51" i="24"/>
  <c r="G50" i="24"/>
  <c r="F50" i="24"/>
  <c r="G49" i="24"/>
  <c r="F49" i="24"/>
  <c r="H44" i="24"/>
  <c r="H43" i="24"/>
  <c r="H42" i="24"/>
  <c r="H41" i="24"/>
  <c r="H40" i="24"/>
  <c r="H39" i="24"/>
  <c r="G39" i="24"/>
  <c r="H38" i="24"/>
  <c r="G38" i="24"/>
  <c r="H37" i="24"/>
  <c r="G37" i="24"/>
  <c r="H36" i="24"/>
  <c r="G36" i="24"/>
  <c r="H35" i="24"/>
  <c r="G35" i="24"/>
  <c r="H34" i="24"/>
  <c r="G34" i="24"/>
  <c r="H33" i="24"/>
  <c r="G33" i="24"/>
  <c r="H32" i="24"/>
  <c r="G32" i="24"/>
  <c r="H31" i="24"/>
  <c r="H30" i="24"/>
  <c r="H29" i="24"/>
  <c r="H28" i="24"/>
  <c r="G28" i="24"/>
  <c r="H27" i="24"/>
  <c r="G27" i="24"/>
  <c r="H26" i="24"/>
  <c r="G26" i="24"/>
  <c r="H25" i="24"/>
  <c r="G25" i="24"/>
  <c r="F18" i="24"/>
  <c r="E18" i="24"/>
  <c r="F17" i="24"/>
  <c r="E17" i="24"/>
  <c r="F16" i="24"/>
  <c r="E16" i="24"/>
  <c r="F15" i="24"/>
  <c r="E15" i="24"/>
  <c r="F14" i="24"/>
  <c r="E14" i="24"/>
  <c r="F13" i="24"/>
  <c r="E13" i="24"/>
  <c r="F12" i="24"/>
  <c r="E12" i="24"/>
  <c r="D7" i="24"/>
  <c r="D6" i="24"/>
  <c r="G5" i="24"/>
  <c r="F5" i="24"/>
  <c r="E5" i="24"/>
  <c r="D5" i="24"/>
  <c r="G4" i="24"/>
  <c r="F4" i="24"/>
  <c r="E4" i="24"/>
  <c r="D4" i="24"/>
  <c r="G3" i="24"/>
  <c r="F3" i="24"/>
  <c r="E3" i="24"/>
  <c r="D3" i="24"/>
  <c r="N77" i="20"/>
  <c r="N76" i="20"/>
  <c r="N75" i="20"/>
  <c r="N74" i="20"/>
  <c r="E74" i="20"/>
  <c r="N73" i="20"/>
  <c r="E73" i="20"/>
  <c r="N72" i="20"/>
  <c r="E72" i="20"/>
  <c r="G52" i="20"/>
  <c r="F52" i="20"/>
  <c r="G51" i="20"/>
  <c r="F51" i="20"/>
  <c r="G50" i="20"/>
  <c r="F50" i="20"/>
  <c r="G49" i="20"/>
  <c r="F49" i="20"/>
  <c r="H44" i="20"/>
  <c r="H43" i="20"/>
  <c r="H42" i="20"/>
  <c r="H41" i="20"/>
  <c r="H40" i="20"/>
  <c r="H39" i="20"/>
  <c r="G39" i="20"/>
  <c r="H38" i="20"/>
  <c r="G38" i="20"/>
  <c r="H37" i="20"/>
  <c r="G37" i="20"/>
  <c r="H36" i="20"/>
  <c r="G36" i="20"/>
  <c r="H35" i="20"/>
  <c r="G35" i="20"/>
  <c r="H34" i="20"/>
  <c r="G34" i="20"/>
  <c r="H33" i="20"/>
  <c r="G33" i="20"/>
  <c r="H32" i="20"/>
  <c r="G32" i="20"/>
  <c r="H31" i="20"/>
  <c r="H30" i="20"/>
  <c r="H29" i="20"/>
  <c r="H28" i="20"/>
  <c r="G28" i="20"/>
  <c r="H27" i="20"/>
  <c r="G27" i="20"/>
  <c r="H26" i="20"/>
  <c r="G26" i="20"/>
  <c r="H25" i="20"/>
  <c r="G25" i="20"/>
  <c r="F18" i="20"/>
  <c r="E18" i="20"/>
  <c r="F17" i="20"/>
  <c r="E17" i="20"/>
  <c r="F16" i="20"/>
  <c r="F15" i="20"/>
  <c r="E15" i="20"/>
  <c r="F14" i="20"/>
  <c r="E14" i="20"/>
  <c r="F13" i="20"/>
  <c r="E13" i="20"/>
  <c r="F12" i="20"/>
  <c r="E12" i="20"/>
  <c r="D7" i="20"/>
  <c r="D6" i="20"/>
  <c r="G5" i="20"/>
  <c r="F5" i="20"/>
  <c r="E5" i="20"/>
  <c r="D5" i="20"/>
  <c r="G4" i="20"/>
  <c r="F4" i="20"/>
  <c r="E4" i="20"/>
  <c r="D4" i="20"/>
  <c r="G3" i="20"/>
  <c r="F3" i="20"/>
  <c r="E3" i="20"/>
  <c r="D3" i="20"/>
  <c r="E74" i="17"/>
  <c r="E73" i="17"/>
  <c r="E72" i="17"/>
  <c r="D60" i="17"/>
  <c r="C60" i="17"/>
  <c r="D58" i="17"/>
  <c r="D56" i="17"/>
  <c r="G52" i="17"/>
  <c r="F52" i="17"/>
  <c r="G51" i="17"/>
  <c r="F51" i="17"/>
  <c r="G50" i="17"/>
  <c r="F50" i="17"/>
  <c r="G49" i="17"/>
  <c r="F49" i="17"/>
  <c r="H44" i="17"/>
  <c r="H43" i="17"/>
  <c r="H42" i="17"/>
  <c r="H41" i="17"/>
  <c r="H40" i="17"/>
  <c r="H39" i="17"/>
  <c r="G39" i="17"/>
  <c r="H38" i="17"/>
  <c r="G38" i="17"/>
  <c r="H37" i="17"/>
  <c r="G37" i="17"/>
  <c r="H36" i="17"/>
  <c r="G36" i="17"/>
  <c r="H35" i="17"/>
  <c r="G35" i="17"/>
  <c r="H34" i="17"/>
  <c r="G34" i="17"/>
  <c r="H33" i="17"/>
  <c r="G33" i="17"/>
  <c r="H32" i="17"/>
  <c r="G32" i="17"/>
  <c r="H31" i="17"/>
  <c r="H30" i="17"/>
  <c r="H29" i="17"/>
  <c r="H28" i="17"/>
  <c r="G28" i="17"/>
  <c r="H27" i="17"/>
  <c r="G27" i="17"/>
  <c r="H26" i="17"/>
  <c r="G26" i="17"/>
  <c r="H25" i="17"/>
  <c r="G25" i="17"/>
  <c r="F18" i="17"/>
  <c r="E18" i="17"/>
  <c r="F17" i="17"/>
  <c r="E17" i="17"/>
  <c r="F16" i="17"/>
  <c r="E16" i="17"/>
  <c r="F15" i="17"/>
  <c r="E15" i="17"/>
  <c r="F14" i="17"/>
  <c r="E14" i="17"/>
  <c r="F13" i="17"/>
  <c r="E13" i="17"/>
  <c r="F12" i="17"/>
  <c r="E12" i="17"/>
  <c r="D7" i="17"/>
  <c r="D6" i="17"/>
  <c r="G5" i="17"/>
  <c r="F5" i="17"/>
  <c r="E5" i="17"/>
  <c r="D5" i="17"/>
  <c r="G4" i="17"/>
  <c r="F4" i="17"/>
  <c r="E4" i="17"/>
  <c r="D4" i="17"/>
  <c r="G3" i="17"/>
  <c r="F3" i="17"/>
  <c r="E3" i="17"/>
  <c r="D3" i="17"/>
  <c r="E77" i="10"/>
  <c r="E76" i="10"/>
  <c r="E75" i="10"/>
  <c r="E74" i="10"/>
  <c r="E73" i="10"/>
  <c r="D60" i="10"/>
  <c r="D58" i="10"/>
  <c r="D56" i="10"/>
  <c r="F52" i="10"/>
  <c r="F51" i="10"/>
  <c r="F50" i="10"/>
  <c r="F49" i="10"/>
  <c r="G39" i="10"/>
  <c r="G38" i="10"/>
  <c r="G37" i="10"/>
  <c r="G36" i="10"/>
  <c r="G35" i="10"/>
  <c r="G34" i="10"/>
  <c r="G33" i="10"/>
  <c r="G32" i="10"/>
  <c r="G28" i="10"/>
  <c r="G27" i="10"/>
  <c r="G26" i="10"/>
  <c r="G25" i="10"/>
  <c r="E18" i="10"/>
  <c r="E17" i="10"/>
  <c r="E16" i="10"/>
  <c r="E15" i="10"/>
  <c r="E14" i="10"/>
  <c r="E13" i="10"/>
  <c r="E12" i="10"/>
  <c r="D7" i="10"/>
  <c r="D6" i="10"/>
  <c r="G5" i="10"/>
  <c r="F5" i="10"/>
  <c r="E5" i="10"/>
  <c r="D5" i="10"/>
  <c r="G4" i="10"/>
  <c r="F4" i="10"/>
  <c r="E4" i="10"/>
  <c r="D4" i="10"/>
  <c r="G3" i="10"/>
  <c r="F3" i="10"/>
  <c r="E3" i="10"/>
  <c r="D3" i="10"/>
  <c r="E76" i="8"/>
  <c r="E75" i="8"/>
  <c r="E74" i="8"/>
  <c r="E73" i="8"/>
  <c r="E72" i="8"/>
  <c r="D60" i="8"/>
  <c r="D58" i="8"/>
  <c r="D56" i="8"/>
  <c r="F52" i="8"/>
  <c r="F51" i="8"/>
  <c r="F50" i="8"/>
  <c r="F49" i="8"/>
  <c r="O39" i="8"/>
  <c r="G39" i="8"/>
  <c r="O38" i="8"/>
  <c r="G38" i="8"/>
  <c r="O37" i="8"/>
  <c r="G37" i="8"/>
  <c r="O36" i="8"/>
  <c r="G36" i="8"/>
  <c r="O35" i="8"/>
  <c r="G35" i="8"/>
  <c r="O34" i="8"/>
  <c r="G34" i="8"/>
  <c r="O33" i="8"/>
  <c r="G33" i="8"/>
  <c r="O32" i="8"/>
  <c r="G32" i="8"/>
  <c r="O28" i="8"/>
  <c r="G28" i="8"/>
  <c r="O27" i="8"/>
  <c r="G27" i="8"/>
  <c r="O26" i="8"/>
  <c r="G26" i="8"/>
  <c r="O25" i="8"/>
  <c r="G25" i="8"/>
  <c r="E18" i="8"/>
  <c r="E17" i="8"/>
  <c r="E15" i="8"/>
  <c r="E14" i="8"/>
  <c r="E13" i="8"/>
  <c r="E12" i="8"/>
  <c r="D7" i="8"/>
  <c r="D6" i="8"/>
  <c r="G5" i="8"/>
  <c r="F5" i="8"/>
  <c r="E5" i="8"/>
  <c r="D5" i="8"/>
  <c r="G4" i="8"/>
  <c r="F4" i="8"/>
  <c r="E4" i="8"/>
  <c r="D4" i="8"/>
  <c r="G3" i="8"/>
  <c r="F3" i="8"/>
  <c r="E3" i="8"/>
  <c r="D3" i="8"/>
  <c r="N77" i="30"/>
  <c r="N76" i="30"/>
  <c r="N75" i="30"/>
  <c r="N74" i="30"/>
  <c r="E74" i="30"/>
  <c r="N73" i="30"/>
  <c r="E73" i="30"/>
  <c r="N72" i="30"/>
  <c r="E72" i="30"/>
  <c r="C60" i="30"/>
  <c r="B60" i="30"/>
  <c r="G52" i="30"/>
  <c r="F52" i="30"/>
  <c r="G51" i="30"/>
  <c r="F51" i="30"/>
  <c r="G50" i="30"/>
  <c r="F50" i="30"/>
  <c r="G49" i="30"/>
  <c r="F49" i="30"/>
  <c r="H44" i="30"/>
  <c r="H43" i="30"/>
  <c r="H42" i="30"/>
  <c r="H41" i="30"/>
  <c r="G41" i="30"/>
  <c r="H40" i="30"/>
  <c r="H39" i="30"/>
  <c r="G39" i="30"/>
  <c r="H38" i="30"/>
  <c r="G38" i="30"/>
  <c r="H37" i="30"/>
  <c r="G37" i="30"/>
  <c r="H36" i="30"/>
  <c r="G36" i="30"/>
  <c r="H35" i="30"/>
  <c r="G35" i="30"/>
  <c r="H34" i="30"/>
  <c r="G34" i="30"/>
  <c r="H33" i="30"/>
  <c r="G33" i="30"/>
  <c r="H32" i="30"/>
  <c r="G32" i="30"/>
  <c r="H31" i="30"/>
  <c r="H30" i="30"/>
  <c r="H29" i="30"/>
  <c r="H28" i="30"/>
  <c r="G28" i="30"/>
  <c r="H27" i="30"/>
  <c r="G27" i="30"/>
  <c r="H26" i="30"/>
  <c r="G26" i="30"/>
  <c r="H25" i="30"/>
  <c r="G25" i="30"/>
  <c r="F18" i="30"/>
  <c r="E18" i="30"/>
  <c r="F17" i="30"/>
  <c r="E17" i="30"/>
  <c r="F16" i="30"/>
  <c r="E16" i="30"/>
  <c r="F15" i="30"/>
  <c r="E15" i="30"/>
  <c r="F14" i="30"/>
  <c r="E14" i="30"/>
  <c r="F13" i="30"/>
  <c r="E13" i="30"/>
  <c r="F12" i="30"/>
  <c r="E12" i="30"/>
  <c r="D7" i="30"/>
  <c r="D6" i="30"/>
  <c r="G5" i="30"/>
  <c r="F5" i="30"/>
  <c r="E5" i="30"/>
  <c r="D5" i="30"/>
  <c r="G4" i="30"/>
  <c r="F4" i="30"/>
  <c r="E4" i="30"/>
  <c r="D4" i="30"/>
  <c r="G3" i="30"/>
  <c r="F3" i="30"/>
  <c r="E3" i="30"/>
  <c r="D3" i="30"/>
  <c r="N77" i="26"/>
  <c r="N76" i="26"/>
  <c r="N75" i="26"/>
  <c r="N74" i="26"/>
  <c r="E74" i="26"/>
  <c r="N73" i="26"/>
  <c r="E73" i="26"/>
  <c r="N72" i="26"/>
  <c r="E72" i="26"/>
  <c r="D60" i="26"/>
  <c r="C60" i="26"/>
  <c r="B60" i="26"/>
  <c r="D58" i="26"/>
  <c r="D56" i="26"/>
  <c r="G52" i="26"/>
  <c r="F52" i="26"/>
  <c r="G51" i="26"/>
  <c r="F51" i="26"/>
  <c r="G50" i="26"/>
  <c r="F50" i="26"/>
  <c r="G49" i="26"/>
  <c r="F49" i="26"/>
  <c r="H44" i="26"/>
  <c r="H43" i="26"/>
  <c r="H42" i="26"/>
  <c r="H41" i="26"/>
  <c r="G41" i="26"/>
  <c r="H40" i="26"/>
  <c r="H39" i="26"/>
  <c r="G39" i="26"/>
  <c r="H38" i="26"/>
  <c r="G38" i="26"/>
  <c r="H37" i="26"/>
  <c r="G37" i="26"/>
  <c r="H36" i="26"/>
  <c r="G36" i="26"/>
  <c r="H35" i="26"/>
  <c r="G35" i="26"/>
  <c r="H34" i="26"/>
  <c r="G34" i="26"/>
  <c r="H33" i="26"/>
  <c r="G33" i="26"/>
  <c r="H32" i="26"/>
  <c r="G32" i="26"/>
  <c r="H31" i="26"/>
  <c r="H30" i="26"/>
  <c r="H29" i="26"/>
  <c r="H28" i="26"/>
  <c r="G28" i="26"/>
  <c r="H27" i="26"/>
  <c r="G27" i="26"/>
  <c r="H26" i="26"/>
  <c r="G26" i="26"/>
  <c r="H25" i="26"/>
  <c r="G25" i="26"/>
  <c r="F18" i="26"/>
  <c r="E18" i="26"/>
  <c r="F17" i="26"/>
  <c r="E17" i="26"/>
  <c r="F16" i="26"/>
  <c r="E16" i="26"/>
  <c r="F15" i="26"/>
  <c r="E15" i="26"/>
  <c r="F14" i="26"/>
  <c r="E14" i="26"/>
  <c r="F13" i="26"/>
  <c r="E13" i="26"/>
  <c r="F12" i="26"/>
  <c r="E12" i="26"/>
  <c r="D7" i="26"/>
  <c r="D6" i="26"/>
  <c r="G5" i="26"/>
  <c r="F5" i="26"/>
  <c r="E5" i="26"/>
  <c r="D5" i="26"/>
  <c r="G4" i="26"/>
  <c r="F4" i="26"/>
  <c r="E4" i="26"/>
  <c r="D4" i="26"/>
  <c r="G3" i="26"/>
  <c r="F3" i="26"/>
  <c r="E3" i="26"/>
  <c r="D3" i="26"/>
  <c r="D60" i="12"/>
  <c r="D58" i="12"/>
  <c r="G52" i="12"/>
  <c r="F52" i="12"/>
  <c r="G51" i="12"/>
  <c r="F51" i="12"/>
  <c r="H44" i="12"/>
  <c r="H43" i="12"/>
  <c r="H42" i="12"/>
  <c r="H41" i="12"/>
  <c r="H40" i="12"/>
  <c r="H39" i="12"/>
  <c r="G39" i="12"/>
  <c r="H38" i="12"/>
  <c r="G38" i="12"/>
  <c r="H37" i="12"/>
  <c r="G37" i="12"/>
  <c r="H36" i="12"/>
  <c r="G36" i="12"/>
  <c r="H35" i="12"/>
  <c r="G35" i="12"/>
  <c r="H34" i="12"/>
  <c r="G34" i="12"/>
  <c r="H33" i="12"/>
  <c r="G33" i="12"/>
  <c r="H32" i="12"/>
  <c r="G32" i="12"/>
  <c r="H31" i="12"/>
  <c r="H30" i="12"/>
  <c r="H29" i="12"/>
  <c r="H28" i="12"/>
  <c r="G28" i="12"/>
  <c r="H27" i="12"/>
  <c r="G27" i="12"/>
  <c r="H26" i="12"/>
  <c r="G26" i="12"/>
  <c r="H25" i="12"/>
  <c r="G25" i="12"/>
  <c r="F18" i="12"/>
  <c r="E18" i="12"/>
  <c r="F17" i="12"/>
  <c r="E17" i="12"/>
  <c r="F16" i="12"/>
  <c r="E16" i="12"/>
  <c r="F15" i="12"/>
  <c r="E15" i="12"/>
  <c r="F14" i="12"/>
  <c r="E14" i="12"/>
  <c r="F13" i="12"/>
  <c r="E13" i="12"/>
  <c r="F12" i="12"/>
  <c r="E12" i="12"/>
  <c r="D7" i="12"/>
  <c r="D6" i="12"/>
  <c r="G5" i="12"/>
  <c r="F5" i="12"/>
  <c r="E5" i="12"/>
  <c r="D5" i="12"/>
  <c r="G4" i="12"/>
  <c r="F4" i="12"/>
  <c r="E4" i="12"/>
  <c r="D4" i="12"/>
  <c r="G3" i="12"/>
  <c r="F3" i="12"/>
  <c r="E3" i="12"/>
  <c r="D3" i="12"/>
  <c r="E80" i="7"/>
  <c r="E79" i="7"/>
  <c r="E78" i="7"/>
  <c r="E77" i="7"/>
  <c r="E76" i="7"/>
  <c r="E55" i="7"/>
  <c r="E54" i="7"/>
  <c r="E53" i="7"/>
  <c r="E52" i="7"/>
  <c r="O42" i="7"/>
  <c r="G42" i="7"/>
  <c r="O41" i="7"/>
  <c r="G41" i="7"/>
  <c r="O40" i="7"/>
  <c r="G40" i="7"/>
  <c r="O39" i="7"/>
  <c r="G39" i="7"/>
  <c r="O38" i="7"/>
  <c r="G38" i="7"/>
  <c r="O37" i="7"/>
  <c r="G37" i="7"/>
  <c r="O36" i="7"/>
  <c r="G36" i="7"/>
  <c r="O35" i="7"/>
  <c r="G35" i="7"/>
  <c r="O31" i="7"/>
  <c r="G31" i="7"/>
  <c r="O30" i="7"/>
  <c r="G30" i="7"/>
  <c r="O29" i="7"/>
  <c r="G29" i="7"/>
  <c r="O28" i="7"/>
  <c r="G28" i="7"/>
  <c r="E21" i="7"/>
  <c r="E20" i="7"/>
  <c r="E18" i="7"/>
  <c r="E17" i="7"/>
  <c r="E16" i="7"/>
  <c r="E15" i="7"/>
  <c r="D9" i="7"/>
  <c r="D8" i="7"/>
  <c r="D7" i="7"/>
  <c r="D6" i="7"/>
  <c r="G5" i="7"/>
  <c r="F5" i="7"/>
  <c r="E5" i="7"/>
  <c r="D5" i="7"/>
  <c r="G4" i="7"/>
  <c r="F4" i="7"/>
  <c r="E4" i="7"/>
  <c r="D4" i="7"/>
  <c r="G3" i="7"/>
  <c r="F3" i="7"/>
  <c r="E3" i="7"/>
  <c r="D3" i="7"/>
  <c r="E57" i="5"/>
  <c r="E56" i="5"/>
  <c r="E55" i="5"/>
  <c r="E54" i="5"/>
  <c r="N44" i="5"/>
  <c r="F44" i="5"/>
  <c r="N43" i="5"/>
  <c r="F43" i="5"/>
  <c r="N42" i="5"/>
  <c r="F42" i="5"/>
  <c r="N41" i="5"/>
  <c r="F41" i="5"/>
  <c r="N40" i="5"/>
  <c r="F40" i="5"/>
  <c r="N39" i="5"/>
  <c r="F39" i="5"/>
  <c r="N38" i="5"/>
  <c r="F38" i="5"/>
  <c r="N37" i="5"/>
  <c r="F37" i="5"/>
  <c r="N33" i="5"/>
  <c r="F33" i="5"/>
  <c r="N32" i="5"/>
  <c r="F32" i="5"/>
  <c r="N31" i="5"/>
  <c r="F31" i="5"/>
  <c r="N30" i="5"/>
  <c r="F30" i="5"/>
  <c r="E23" i="5"/>
  <c r="E22" i="5"/>
  <c r="E20" i="5"/>
  <c r="E19" i="5"/>
  <c r="E18" i="5"/>
  <c r="E17" i="5"/>
  <c r="E16" i="5"/>
  <c r="D8" i="5"/>
  <c r="D7" i="5"/>
  <c r="D6" i="5"/>
  <c r="G5" i="5"/>
  <c r="F5" i="5"/>
  <c r="E5" i="5"/>
  <c r="D5" i="5"/>
  <c r="G4" i="5"/>
  <c r="F4" i="5"/>
  <c r="E4" i="5"/>
  <c r="D4" i="5"/>
  <c r="G3" i="5"/>
  <c r="F3" i="5"/>
  <c r="E3" i="5"/>
  <c r="D3" i="5"/>
  <c r="E58" i="3"/>
  <c r="E57" i="3"/>
  <c r="E56" i="3"/>
  <c r="E55" i="3"/>
  <c r="N45" i="3"/>
  <c r="F45" i="3"/>
  <c r="N44" i="3"/>
  <c r="F44" i="3"/>
  <c r="N43" i="3"/>
  <c r="F43" i="3"/>
  <c r="N42" i="3"/>
  <c r="F42" i="3"/>
  <c r="N41" i="3"/>
  <c r="F41" i="3"/>
  <c r="N40" i="3"/>
  <c r="F40" i="3"/>
  <c r="N39" i="3"/>
  <c r="F39" i="3"/>
  <c r="N38" i="3"/>
  <c r="F38" i="3"/>
  <c r="N34" i="3"/>
  <c r="F34" i="3"/>
  <c r="N33" i="3"/>
  <c r="F33" i="3"/>
  <c r="N32" i="3"/>
  <c r="F32" i="3"/>
  <c r="N31" i="3"/>
  <c r="F31" i="3"/>
  <c r="E24" i="3"/>
  <c r="E23" i="3"/>
  <c r="E20" i="3"/>
  <c r="E19" i="3"/>
  <c r="E18" i="3"/>
  <c r="E17" i="3"/>
  <c r="E16" i="3"/>
  <c r="D8" i="3"/>
  <c r="D7" i="3"/>
  <c r="D6" i="3"/>
  <c r="G5" i="3"/>
  <c r="F5" i="3"/>
  <c r="E5" i="3"/>
  <c r="D5" i="3"/>
  <c r="G4" i="3"/>
  <c r="F4" i="3"/>
  <c r="E4" i="3"/>
  <c r="D4" i="3"/>
  <c r="G3" i="3"/>
  <c r="F3" i="3"/>
  <c r="E3" i="3"/>
  <c r="D3" i="3"/>
  <c r="E54" i="1"/>
  <c r="E53" i="1"/>
  <c r="E52" i="1"/>
  <c r="E51" i="1"/>
  <c r="F42" i="1"/>
  <c r="F41" i="1"/>
  <c r="F40" i="1"/>
  <c r="F39" i="1"/>
  <c r="F38" i="1"/>
  <c r="F37" i="1"/>
  <c r="F36" i="1"/>
  <c r="F35" i="1"/>
  <c r="F33" i="1"/>
  <c r="F32" i="1"/>
  <c r="F31" i="1"/>
  <c r="F30" i="1"/>
  <c r="E23" i="1"/>
  <c r="E22" i="1"/>
  <c r="E21" i="1"/>
  <c r="E20" i="1"/>
  <c r="E19" i="1"/>
  <c r="E18" i="1"/>
  <c r="E17" i="1"/>
  <c r="E16" i="1"/>
  <c r="D8" i="1"/>
  <c r="D7" i="1"/>
  <c r="D6" i="1"/>
  <c r="G5" i="1"/>
  <c r="F5" i="1"/>
  <c r="E5" i="1"/>
  <c r="D5" i="1"/>
  <c r="G4" i="1"/>
  <c r="F4" i="1"/>
  <c r="E4" i="1"/>
  <c r="D4" i="1"/>
  <c r="G3" i="1"/>
  <c r="F3" i="1"/>
  <c r="E3" i="1"/>
  <c r="D3" i="1"/>
</calcChain>
</file>

<file path=xl/sharedStrings.xml><?xml version="1.0" encoding="utf-8"?>
<sst xmlns="http://schemas.openxmlformats.org/spreadsheetml/2006/main" count="3468" uniqueCount="694">
  <si>
    <t>2026-1.1-1.31   品牌市占</t>
  </si>
  <si>
    <t>渠道</t>
  </si>
  <si>
    <t>25年成交额</t>
  </si>
  <si>
    <t>26年成交额</t>
  </si>
  <si>
    <t>成交额同比</t>
  </si>
  <si>
    <t>25年市占</t>
  </si>
  <si>
    <t>26年市占</t>
  </si>
  <si>
    <t>市占变化</t>
  </si>
  <si>
    <t>分析</t>
  </si>
  <si>
    <t>TM</t>
  </si>
  <si>
    <t>1、市占降低主要为抖音渠道较同期有新品撕拉面膜起量，同时达播端拓展卫视及央媒直播大场合作落地销售；2、店铺维度自营同比增长，pop店推广未达预期下滑较多；</t>
  </si>
  <si>
    <t>DY</t>
  </si>
  <si>
    <t>JD</t>
  </si>
  <si>
    <t>自营-券前</t>
  </si>
  <si>
    <t>自营-券后</t>
  </si>
  <si>
    <t>pop</t>
  </si>
  <si>
    <t>2026-1.1-1.31 自营成交分析</t>
  </si>
  <si>
    <t>26年</t>
  </si>
  <si>
    <t>25年</t>
  </si>
  <si>
    <t>同比</t>
  </si>
  <si>
    <t>占比</t>
  </si>
  <si>
    <t>总结分析</t>
  </si>
  <si>
    <t>免费</t>
  </si>
  <si>
    <t>搜索</t>
  </si>
  <si>
    <t>品牌及场域活动带动</t>
  </si>
  <si>
    <t>推荐</t>
  </si>
  <si>
    <t>付费</t>
  </si>
  <si>
    <t>RTB</t>
  </si>
  <si>
    <t>推广计划聚焦喷雾、面霜、撕拉面膜等重点单品，关键词侧重于品牌连带词，对潜客及粉丝用户进行重点触达，提升即时转化率；</t>
  </si>
  <si>
    <t>CPS</t>
  </si>
  <si>
    <t>自营因为二元促销影响调整推广模式秒杀+cps,同时个别推广团长自行补贴增加了销售转化</t>
  </si>
  <si>
    <t>活动</t>
  </si>
  <si>
    <t>百补</t>
  </si>
  <si>
    <t>同期百补提报sku仅5个，今年增加至16个</t>
  </si>
  <si>
    <t>秒杀</t>
  </si>
  <si>
    <t>今年1.0俩大价格下探提报爆品秒杀效果较好且增加秒杀场次和秒杀品，1.0三大秒杀当天沟通cps推广，销售增长较明显，试用品也较去年提升较多</t>
  </si>
  <si>
    <t>试用</t>
  </si>
  <si>
    <t>直播</t>
  </si>
  <si>
    <t>①嘭润霜因利益点不足销售下滑，目前已作出调整；
②25年年兽款三大和好运嘭嘭礼盒直播占比销售10%，今年缺失这一部分销售，后续用凌赫红喷雾和新年开运礼盒弥补缺失销售；</t>
  </si>
  <si>
    <t>店铺总达成：自营1月目标373万（券后），实际达成402.62w，同期344.13w，同增17.00%，目标达成107.9%；</t>
  </si>
  <si>
    <t>2026-1.1-1.31 自营货品分析</t>
  </si>
  <si>
    <t>品线</t>
  </si>
  <si>
    <t>sku</t>
  </si>
  <si>
    <t>产品</t>
  </si>
  <si>
    <t>喷雾品线</t>
  </si>
  <si>
    <t>100039298329</t>
  </si>
  <si>
    <t>1.0补水喷雾300ml*2</t>
  </si>
  <si>
    <t>1.0补水喷雾2瓶装周期性提报爆品秒杀，3瓶装运用秒杀提报+cps推广，提升1.0喷雾整体销售</t>
  </si>
  <si>
    <t>100052677369</t>
  </si>
  <si>
    <t>1.0补水喷雾300ml*3</t>
  </si>
  <si>
    <t>100101890666</t>
  </si>
  <si>
    <t>2.0深层补水喷雾300ml*2</t>
  </si>
  <si>
    <t>2.0喷雾3瓶装一直跟价ljq，价格下探销售增长，2瓶装因为3瓶装价格下探销售微降</t>
  </si>
  <si>
    <t>100058378537</t>
  </si>
  <si>
    <t>2.0深层补水喷雾300ml*3</t>
  </si>
  <si>
    <t>100183852875</t>
  </si>
  <si>
    <t>修护喷雾300ml*2</t>
  </si>
  <si>
    <t>/</t>
  </si>
  <si>
    <t>修护喷雾两瓶装89元提报百补，环比销售增长5.19%，提前为官宣做销售基础</t>
  </si>
  <si>
    <t>嘭润品线</t>
  </si>
  <si>
    <t>100128790884</t>
  </si>
  <si>
    <t>嘭润修护霜（轻盈型）50g</t>
  </si>
  <si>
    <t>面霜资源及活动做2瓶组合装倾斜，通过组套价格更划算，客户获得优惠同时提升店铺客单</t>
  </si>
  <si>
    <t>100136096184</t>
  </si>
  <si>
    <t>嘭润修护霜（轻盈型）100g</t>
  </si>
  <si>
    <t>100109649449</t>
  </si>
  <si>
    <t>嘭润修护霜（滋润型）50g</t>
  </si>
  <si>
    <t>100118135669</t>
  </si>
  <si>
    <t>嘭润修护霜（滋润型）100g</t>
  </si>
  <si>
    <t>100076703581</t>
  </si>
  <si>
    <t>嘭润水乳120ml+100g</t>
  </si>
  <si>
    <t>嘭润水乳性价比相较外部品牌性价比稍有不足，已通过组套装价格下探提升性价比，组套销售微增，后续水乳人群价格下探增加销售</t>
  </si>
  <si>
    <t>100131656911</t>
  </si>
  <si>
    <t>嘭润水乳面霜组合</t>
  </si>
  <si>
    <t>次抛精华</t>
  </si>
  <si>
    <t>嘭润次抛1盒</t>
  </si>
  <si>
    <t>80支下滑主要是去年1月有cps推广，今年因平台促销规则调整，跑cps利益点不足，后续尝试秒杀+cps提升销售</t>
  </si>
  <si>
    <t>嘭润次抛80支</t>
  </si>
  <si>
    <t>主推新品</t>
  </si>
  <si>
    <t>100163209715</t>
  </si>
  <si>
    <t>双萃水</t>
  </si>
  <si>
    <t>双萃水及撕拉面膜均是今年新品，撕拉面膜增长主要是外部平台达播推广流量溢出引入京东，销售转化提升</t>
  </si>
  <si>
    <t>100230840004</t>
  </si>
  <si>
    <t>双萃水2瓶</t>
  </si>
  <si>
    <t>水光精华面膜5g*20袋</t>
  </si>
  <si>
    <t>水光精华面膜5g*20支礼盒装</t>
  </si>
  <si>
    <t>2026-1.1-1.31自营人群分析</t>
  </si>
  <si>
    <t>人群</t>
  </si>
  <si>
    <t>新老客</t>
  </si>
  <si>
    <t>新客</t>
  </si>
  <si>
    <t>年货节心智下重点针对老客及会员做了利益点释放，通过会员券人群投放，以及年货节囤货心智，引起老客销售增长</t>
  </si>
  <si>
    <t>老客</t>
  </si>
  <si>
    <t>重点人群</t>
  </si>
  <si>
    <t>学生</t>
  </si>
  <si>
    <t>26年学生价品增加至38个，且进行学生价派样，增加了整体店铺学生销售</t>
  </si>
  <si>
    <t>plus</t>
  </si>
  <si>
    <t>26年新增加了14个plus95折商品，以及今年平台plus券，二元促销引起plus券使用</t>
  </si>
  <si>
    <t>会员</t>
  </si>
  <si>
    <t>销售人数</t>
  </si>
  <si>
    <t>销售金额</t>
  </si>
  <si>
    <t>客单价</t>
  </si>
  <si>
    <t>人群投放动作</t>
  </si>
  <si>
    <t>活动动作</t>
  </si>
  <si>
    <t>99-10优惠券，用券2000+，成交销售额35.6万</t>
  </si>
  <si>
    <t>1.1元试用：拉新1000+
2.老客邀新：参与人数700+，拉新500+</t>
  </si>
  <si>
    <t>整体客单价同比降低主要是今年派样力度下探1元品数量增加，嘭润系列由中样转为pp派样拉新，拉低新客客单价，引起整体客单下滑，老客客单微降主要是整体店铺货品价格下探，影响老客客单，老客优惠券利益点放大人群投放，虽客单微降，但整体销售增长较为明显，后续将针对会员人群投放频率增加，提升整体销售，老客邀新效果不错，后续会延续做</t>
  </si>
  <si>
    <t>300-60优惠券，用券200+，成交销售额6.3万</t>
  </si>
  <si>
    <t>1.复购有礼，引导成交0.8万+
2.年货节冲榜活动，引导成交12万+
3.积分兑换优惠券/周边/低价商品，本月总计积分使用11万+环增29.54%</t>
  </si>
  <si>
    <t>会员专享权益放大，推送专属券和年货节试用，引导分享裂变，尝试cps会员价推广，带动新会员增长与老会员复购</t>
  </si>
  <si>
    <t>试用数据</t>
  </si>
  <si>
    <t>时间</t>
  </si>
  <si>
    <t>成交用户</t>
  </si>
  <si>
    <t>单量</t>
  </si>
  <si>
    <t>试用成交金额</t>
  </si>
  <si>
    <t>正装复购用户</t>
  </si>
  <si>
    <t>正装复购金额</t>
  </si>
  <si>
    <t>1月份</t>
  </si>
  <si>
    <t>30天复购</t>
  </si>
  <si>
    <t>90天复购</t>
  </si>
  <si>
    <t>今年同比去年试用sku增加至32个，活动频次同增31.43%引导达成销售13.1万，同比增长58.33%。单量同增70.89%，成交用户同增68.95%</t>
  </si>
  <si>
    <t>2026-2.1-2.3   品牌市占</t>
  </si>
  <si>
    <t>抖音3日撕拉面膜央视网直播销售表现较好，对应各平台均有外溢转化，其中京东同款面膜销售为日常20倍；品牌维度同期pop店进入返工cps推广出量；</t>
  </si>
  <si>
    <t>2026-2.1-2.2 自营成交分析</t>
  </si>
  <si>
    <t>去年有cps推广，今年排期在后面几天，会跑1.0三大</t>
  </si>
  <si>
    <t>同期1-2月活动场域基本未提报，今年对应提报动作增多，百补货品提升至14个sku去年同期3个</t>
  </si>
  <si>
    <t>店铺总达成：自营1-3号目标万40.5（券后），实际达成52.9w，同期31.3w，同增69.2%，目标达成130.6%；</t>
  </si>
  <si>
    <t>2026-2.1-2.3 自营货品分析</t>
  </si>
  <si>
    <t>2月目标规划拆解</t>
  </si>
  <si>
    <t>2月目标</t>
  </si>
  <si>
    <t>同期</t>
  </si>
  <si>
    <t>目标同比</t>
  </si>
  <si>
    <t>重点策略及动作</t>
  </si>
  <si>
    <t>重推2大sku，测试秒杀+cps推广、以及人群复购冲刺85万目标</t>
  </si>
  <si>
    <t>受同期推广影响目前销售下滑，主要做3大跟价+推广转化销售</t>
  </si>
  <si>
    <t>日常百补+秒杀稳定日销，2月底提前购借跟价放大推广出量</t>
  </si>
  <si>
    <t>修护喷雾两瓶装89元提报百补，环比销售增长0.8%，提前为官宣做销售基础</t>
  </si>
  <si>
    <t>代言人官宣主推-年前完成新品创建及下单，年后开工完成货品入仓；2瓶装持续百补+联名款提报秒杀；3瓶装提客单拓达播；</t>
  </si>
  <si>
    <t>100183852877</t>
  </si>
  <si>
    <t>修护喷雾300ml*3</t>
  </si>
  <si>
    <t>修护喷雾-官宣礼盒组套</t>
  </si>
  <si>
    <t>面霜继续向2瓶装倾斜，提客单做性价比；水乳增加小样派样及人群投放券包做大促回购</t>
  </si>
  <si>
    <t>嘭润水乳因季节性及同比去年价格赠品调整下探，销售同比增长较为明显</t>
  </si>
  <si>
    <t>较同期推广未达预期销售，重点做人群复购及日销提升</t>
  </si>
  <si>
    <t>继续增加派样拉新动作，后续尝试秒杀+cps提升销售</t>
  </si>
  <si>
    <t>凝时次抛【预计2月中旬上新】</t>
  </si>
  <si>
    <t>新包装升级做春节不打烊及开工主推</t>
  </si>
  <si>
    <t>双萃水做熬夜、抗氧人群投放，同步品牌动作</t>
  </si>
  <si>
    <t>达播外溢流量转化，其中3日销售近10万，为日常20倍</t>
  </si>
  <si>
    <t>重点在官媒直播期间增加预算投放收割外溢流量做转化，重点沟通备货库存</t>
  </si>
  <si>
    <t>2026-2.1-2.2自营人群分析</t>
  </si>
  <si>
    <t>2月规划（375W）</t>
  </si>
  <si>
    <t>目标销售</t>
  </si>
  <si>
    <t>投放时间</t>
  </si>
  <si>
    <t>预计触达人数</t>
  </si>
  <si>
    <t>投放利益点</t>
  </si>
  <si>
    <t>投放人群</t>
  </si>
  <si>
    <t>2.10-2.14</t>
  </si>
  <si>
    <t>20w</t>
  </si>
  <si>
    <t>11-5/99-10新客优惠券</t>
  </si>
  <si>
    <t>近180天浏览、收藏、加购未购，以及下单未付款人群</t>
  </si>
  <si>
    <t>全月持续投放
（3-5场）</t>
  </si>
  <si>
    <t>60w</t>
  </si>
  <si>
    <t>99-10/199-20店铺券</t>
  </si>
  <si>
    <t>针对近一年已下单人群、大促/节日偏好/价格敏感人群/高活跃度人群，实现品牌一单转二单</t>
  </si>
  <si>
    <t>会员专享权益放大，推送专属券和年货节试用，引导分享裂变，带动新会员增长与老会员复购</t>
  </si>
  <si>
    <t>2.14/2.28</t>
  </si>
  <si>
    <t>99-10/300-70会员券</t>
  </si>
  <si>
    <t>针对入会未转化投放首购礼包；针对近一年购买礼盒/张凌赫粉丝/上新偏好人群触达优惠券</t>
  </si>
  <si>
    <t>2.8-2.11
2.28</t>
  </si>
  <si>
    <t>200-25/plus95折</t>
  </si>
  <si>
    <t>针对近一年已下单plus人群、浏览、收藏、加购未购人群，大促/节日偏好/价格敏感人群/高活跃度人群</t>
  </si>
  <si>
    <t>品牌复购用户数</t>
  </si>
  <si>
    <t>品牌复购金额</t>
  </si>
  <si>
    <t>品牌复购新用户数</t>
  </si>
  <si>
    <t>试用品牌新用户</t>
  </si>
  <si>
    <t>试用引入同品牌复购用户数</t>
  </si>
  <si>
    <t>试用引入同品牌复购金额</t>
  </si>
  <si>
    <t>30天</t>
  </si>
  <si>
    <t>90天</t>
  </si>
  <si>
    <t>2026-2.1-2.10  品牌市占</t>
  </si>
  <si>
    <t>抖音平台3日撕拉面膜央视网直播表现较好，市占提升较多；品牌维度自营借助“211”时效发力销售，市占较月初提升3pct；</t>
  </si>
  <si>
    <t>2026-2.1-2.10 自营成交分析</t>
  </si>
  <si>
    <t>推广计划聚焦喷雾、面霜、撕拉面膜等重点单品，关键词侧重于品牌连带词，持续推送竞品人群，完成2.28星粉活动及38女神节活动人群沉淀；</t>
  </si>
  <si>
    <t>本周提报了2.0两大以及1.0三大秒杀同时安排cps推广导致同比增长明显</t>
  </si>
  <si>
    <t>同期1-2月活动场域基本未提报，今年对应提报动作增多，百补货品提升至14个sku去年同期4个</t>
  </si>
  <si>
    <t>喷雾优惠价格前台展示，直播间专享利益点缺失，销售下滑</t>
  </si>
  <si>
    <t>店铺总达成：自营1-10号目标万142.5（券后），实际达成173.2w，同期115.3w，同增50.2%，目标达成121.5%；</t>
  </si>
  <si>
    <t>2026-2.1-2.10 自营货品分析</t>
  </si>
  <si>
    <t>2.8-2.11提报76小时秒杀，截止10号产出销售额10w+</t>
  </si>
  <si>
    <t>1、继续冲刺1.0喷雾2大销售；2、稳定秒杀+百补资源位货品销售；3、调整喷雾3款的sku绑定；4、修护喷雾已完成新品创建本周下单完成年后入仓</t>
  </si>
  <si>
    <t>受2.0三大提报秒杀影响 导致同比销售微下滑，8-11提报秒杀截止目前引入销售额2.2w，环比提升121.36%</t>
  </si>
  <si>
    <t>去年直播变价导致销售增长，今年主要以提报百补资源提升销售</t>
  </si>
  <si>
    <t>去年主要做百补场域活动同期销售增长明显，今年主做直播跟价+推广转化销售，由于最近没有直播跟价3大目前暂无营销动作</t>
  </si>
  <si>
    <t>修护喷雾两瓶装89元提报百补，环比销售增长24.56%，提前为官宣做销售基础</t>
  </si>
  <si>
    <t>面霜日常重点以提报平台券及秒杀场域活动为主，2瓶组合装通过组套价格更划算，客户获得优惠同时提升店铺客单
2.8-2.11（滋润&amp;轻盈）单瓶面霜提报76小时秒杀引入销售额1.8w</t>
  </si>
  <si>
    <t>1、活动期间主推面霜2瓶装及水乳组套；2、针对前期派样及购买人群预计3波人群利益点投放；</t>
  </si>
  <si>
    <t>80支2.6-2.7提报秒杀引入销售额2244元，环比提升39.53%较同期推广未达预期销售，重点持续做人群复购及日销提升</t>
  </si>
  <si>
    <t>继续增加派样拉新动作，三八活动期间做秒杀+cps测试</t>
  </si>
  <si>
    <t>凝时次抛【预计年后上新】</t>
  </si>
  <si>
    <t>达播外溢流量转化，近10日销售17万+，环比提升214.81%</t>
  </si>
  <si>
    <t>已沟通部分库存，本周五下单，预计24号陆续入仓，回收三八活动直播流量外溢</t>
  </si>
  <si>
    <t>2026-2.1-2.9自营人群分析</t>
  </si>
  <si>
    <t>30万</t>
  </si>
  <si>
    <t>10w</t>
  </si>
  <si>
    <t>11-5/21-10学生券</t>
  </si>
  <si>
    <t>针对近一年下单学生人群/情人节送礼/开学季派样人群进行投放</t>
  </si>
  <si>
    <t>99-10优惠券，用券1200+，成交销售额14.4万</t>
  </si>
  <si>
    <t>1.开卡礼包：拉新1000+
2.新会员0元试用，拉新300+
2.老客邀新：参与人数100+，拉新30+</t>
  </si>
  <si>
    <t>整体客单价同比降低主要是今年派样力度下探低价品数量增加，嘭润系列由中样转为pp派样拉新，拉低新客客单价，引起整体客单下滑，老客客单微降主要是整体店铺货品价格下探，影响老客客单，老客优惠券利益点放大人群投放，虽客单微降，但整体销售增长较为明显，后续将针对会员人群投放频率增加，提升整体销售，会员冲榜活动效果不错，后续会延续做</t>
  </si>
  <si>
    <t>120w</t>
  </si>
  <si>
    <t>2.14-
2.28</t>
  </si>
  <si>
    <t>99-10会员券
300-70会员券</t>
  </si>
  <si>
    <t>300-70优惠券，用券100+，成交销售额1.7万</t>
  </si>
  <si>
    <t>1.会员冲刺，引导成交5.1万+
2.年货节冲榜活动，累计引导成交14万+
3.积分兑换优惠券/周边/低价商品，本月总计积分使用3万+环增16.5%</t>
  </si>
  <si>
    <t>会员专享权益放大，推送专属券和会员活动，引导分享裂变，尝试cps会员价推广，带动新会员增长与老会员复购</t>
  </si>
  <si>
    <t>2月（2.1-2.10）</t>
  </si>
  <si>
    <t>2026-2.1-2.28  品牌市占</t>
  </si>
  <si>
    <t>2月合计完成销售额486.6万，同比提升16.4%，2.28日代言人二次官宣完成销售额58.2万，同比去年2月12日首次官宣增长33.79%，券后同比增长19.71%，销售同增主要以今年增加场域活动提报、cps推广以及加大喷雾系列付费推广等方面为主；</t>
  </si>
  <si>
    <t>2月28日-券后</t>
  </si>
  <si>
    <t>2026-2.1-2.28 自营成交分析</t>
  </si>
  <si>
    <t>①1.0两大喷雾增加推广预算，侧重于搜索流量与即时转化，相应调减推荐广告预算；②2月中下旬涉及春节假期，平台整体流量较日常缩减；③代言人官宣与撕拉面膜外溢流量驱动用户进行精准搜索；</t>
  </si>
  <si>
    <t>主推喷雾提报秒杀等场域活动加持，全店推广计划1.0两大喷花费实现同比增长，投产表现优异，有效带动全店推广整体投产提升显著。</t>
  </si>
  <si>
    <t>本月提报了2.0两大以及1.0三大秒杀同时安排cps推广导致同比增长明显</t>
  </si>
  <si>
    <t>去年同期场域活动提报较少，今年对应提报动作增多，秒杀频道重点以1.0两大以及2.0三大等爆品喷雾频繁提报并同时安排推广导致销售增长显著</t>
  </si>
  <si>
    <t>2026-2.1-2.28 自营货品分析</t>
  </si>
  <si>
    <t>达成</t>
  </si>
  <si>
    <t>3月目标</t>
  </si>
  <si>
    <t>预计同比</t>
  </si>
  <si>
    <t>2月频繁提报秒杀场域活动搭配cps推广导致销售增长明显</t>
  </si>
  <si>
    <t>1、继续冲刺1.0喷雾2大销售；持续影分身提报百补，主品提报秒杀增加场域流量2、稳定秒杀+百补资源位货品销售；3、调整喷雾3款的sku绑定；4、修护喷雾持续入库，调整周边绑定，触动粉丝经济，礼盒跟进入仓，增加库存</t>
  </si>
  <si>
    <t>去年主要做百补场域活动同期销售增长明显，今年主做直播跟价+推广转化销售</t>
  </si>
  <si>
    <t>修护喷雾两瓶装89元提报百补，环比销售增长7.92%，提前为官宣做销售基础</t>
  </si>
  <si>
    <t>100321387708</t>
  </si>
  <si>
    <t>胶原喷雾-官宣礼盒（张凌赫联名）</t>
  </si>
  <si>
    <t>同比25年官宣礼盒销售下滑75%，联名款胶原喷雾合计引入销售额8.67万元</t>
  </si>
  <si>
    <t>面霜日常重点以提报平台券及直播价为主，2月推广花费对比去年整体有所减少导致销售同比下滑明显</t>
  </si>
  <si>
    <t>嘭润组合因季节性及提报平台券到手更划算，销售同比微增</t>
  </si>
  <si>
    <t>嘭润次抛系列销售同比负7.46%，销售虽下滑但转化提升，流量更为精准，后续调整推广出价以及增加商品长尾词测试效果，持续做人群复购及日销提升</t>
  </si>
  <si>
    <t>继续增加派样拉新动作，之前派样人群99-10利益点，触达复工季活动期间做秒杀+cps测试</t>
  </si>
  <si>
    <t>凝时次抛【延至3月上新】</t>
  </si>
  <si>
    <t>新包装升级，做抗老主推</t>
  </si>
  <si>
    <t>持续入库，承接外部平台直播流量外溢，触达成交</t>
  </si>
  <si>
    <t>达播外溢流量转化，2月销售27万+，环比提升157.45%</t>
  </si>
  <si>
    <t>2026-2.1-2.28自营人群分析</t>
  </si>
  <si>
    <t>3月规划（W）</t>
  </si>
  <si>
    <t>350万</t>
  </si>
  <si>
    <t>3.15-3.20</t>
  </si>
  <si>
    <t>180万</t>
  </si>
  <si>
    <t>99-10/200-30店铺券</t>
  </si>
  <si>
    <t>26年学生价品增加至38个，且进行学生价派样，学生频道投放拉新券，增加了整体店铺学生销售</t>
  </si>
  <si>
    <t>42万</t>
  </si>
  <si>
    <t>3.10-3.31</t>
  </si>
  <si>
    <t>220万</t>
  </si>
  <si>
    <t>99-10优惠券，用券2500+，成交销售额37.5万</t>
  </si>
  <si>
    <t>1.开卡礼包：拉新2000+
2.新会员入会抽奖：拉新500+
2.1元试用：拉新2300+</t>
  </si>
  <si>
    <t>1.1元试用拉低整体客单，总计派样2300单。剔除拉新派样品会员合计成交人数2.5万，同比增加152%。
2.会员价下探，单品价格低于普通用户，小样会员价sku同比增加10个，累计销售8000+单，销售虽客单下滑，但是销售人数同比增长显著，精准筛选出高意向客户。
3.后续主要针对派样人群推送11-5/21-10/199-20的正装优惠券，促进正装复购，实现品牌一单转二单，提升整体销售。</t>
  </si>
  <si>
    <t>190万</t>
  </si>
  <si>
    <t>3.12-3.31</t>
  </si>
  <si>
    <t>25w</t>
  </si>
  <si>
    <t>针对入会未转化投放首购礼包；针对近180天浏览/加购未购人群/</t>
  </si>
  <si>
    <t>300-70优惠券，用券100+，成交销售额2.1万</t>
  </si>
  <si>
    <t>1.会员冲刺活动，引导成交5.6万+
2.会员复购有礼活动，累计引导成交6.4万+
3.积分兑换优惠券/周边/低价商品，本月总计积分使用16.3万+，环增48%</t>
  </si>
  <si>
    <t>正装复购用户（30天）</t>
  </si>
  <si>
    <t>正装复购金额（30天）</t>
  </si>
  <si>
    <t>2月（2.1-2.28）</t>
  </si>
  <si>
    <t>今年提报了38试用招商，2.28号结合星粉统一频道露出爆发，整体今年2月同比去年试用sku增加至31个，活动频次同增41.94%引导达成销售17.3万，同比增长787.45%。单量同增928.4%，成交用户同增878.6%</t>
  </si>
  <si>
    <t>试用价</t>
  </si>
  <si>
    <t>成交数量</t>
  </si>
  <si>
    <t>成交金额</t>
  </si>
  <si>
    <t>100023977889</t>
  </si>
  <si>
    <t>1.0小喷</t>
  </si>
  <si>
    <t>100283767750</t>
  </si>
  <si>
    <t>2.0小喷手写版</t>
  </si>
  <si>
    <t>100294440906</t>
  </si>
  <si>
    <t>嘭润面霜pp</t>
  </si>
  <si>
    <t>100253974446</t>
  </si>
  <si>
    <t>1.0喷雾100ml+补水面膜*2</t>
  </si>
  <si>
    <t>100211054031</t>
  </si>
  <si>
    <t>水光肌面膜3片</t>
  </si>
  <si>
    <t>2026-3.1-3.31  品牌市占</t>
  </si>
  <si>
    <t>品牌整体增长依旧为主要增量；
京东自营店3.1-3.31日合计完成销售额570万，同比增长29.25%，销售同增主要以代言人二次官宣流量持续赋能、十倍增长计划及站内场域活动驱动渠道市占较月初提升2pct；</t>
  </si>
  <si>
    <t>2026-3.1-3.31 自营成交分析</t>
  </si>
  <si>
    <t>3.8女神节活动与十倍增长计划增加曝光流量；推广预算加码与站内场域活动赋能；</t>
  </si>
  <si>
    <t>1.依托代言人宣发，三八节期间京准通全计划加码代言人词条投放，强化流量曝光。；        2.公域短信触达 + 京准通放量，精准店铺老客、浏览加购、张凌赫粉丝人群，提升流量承接与转化；                                                                                                               3.优化推广计划，上调1.0两大等爆款预算，提升即时转化效率；
4.27 号十倍增长计划，京准通放量推广，对产品浏览未购、店铺关注、PLUS等人群反复触达，促进转化；</t>
  </si>
  <si>
    <t>3月下旬结合平台活动、超级补贴、政府补贴等资源进行集中爆量，有效提高销售转化，在各渠道高度配合完成十倍增长计划，27号直接促成下单32.4万助力品牌销售增长</t>
  </si>
  <si>
    <t>去年同期场域活动提报较少，今年对应提报动作增多，秒杀频道重点以1.0两大喷雾频繁提报导致销售增长显著</t>
  </si>
  <si>
    <t>3.10-3.30直播间投放直播专属优惠券，喷雾限时限量额外加赠张凌赫新形象周边，提升转化，强化直播间性价比心智，下降幅度相较上一周期明显缩小</t>
  </si>
  <si>
    <t>2026-3.1-3.31 自营货品分析</t>
  </si>
  <si>
    <t>3.1-3.31达成</t>
  </si>
  <si>
    <t>4月目标</t>
  </si>
  <si>
    <t>5月目标</t>
  </si>
  <si>
    <t>6月目标</t>
  </si>
  <si>
    <t>后续动作</t>
  </si>
  <si>
    <t>1.0通过百补等场域活动提报以及日常推广实现同比增长77.43%
三大提报平台黑五以及plus券搭配cps推广加持实现同比提升270.3%；</t>
  </si>
  <si>
    <t>1、继续冲刺1.0喷雾2大销售；持续影分身提报百补，主品提报秒杀增加场域流量2、稳定秒杀+百补资源位货品销售；3. 修护喷雾与礼盒持续入库，调整周边绑定，触动粉丝经济，</t>
  </si>
  <si>
    <t>2.0三大因直播跟价销售同比激增154.45%，弥补两大规格销售缺失的同时；整体销售与去年持平；</t>
  </si>
  <si>
    <t>修护喷雾3月均存在库存不足的问题，修护喷雾普通款目前库存补足，联名款礼盒预计4月中旬到货；站内推广计划侧重于职场用户与代言人粉丝进行重点投放；</t>
  </si>
  <si>
    <t>代言人官宣后流量整体倾向于喷雾品线，3月中旬调整推广计划，目前滋润款销售提升，4月提高场域活动提报频次提升销售；</t>
  </si>
  <si>
    <t>1.活动期间主推面霜2瓶装及水乳组套；
2.针对前期派样及购买人群规划4月完成3波利益点触达；</t>
  </si>
  <si>
    <t>嘭润单盒同比提升25.9%，因黑五券叠加plus券200档单盒凑单到手更划算</t>
  </si>
  <si>
    <t>继续增加派样拉新动作，之前派样人群99-10利益点，出游季活动期间做秒杀+cps测试</t>
  </si>
  <si>
    <t>凝时次抛</t>
  </si>
  <si>
    <t>主要针对抗老、做功效人群投放；</t>
  </si>
  <si>
    <t>做好库存跟进，推广端承接外部平台直播流量外溢；</t>
  </si>
  <si>
    <t>站内外推广承接达播外溢流量，原定26号的站外直投因素材审核不合规改为4月1日投放</t>
  </si>
  <si>
    <t>2026-3.1-3.29自营人群分析</t>
  </si>
  <si>
    <t>3.1-3.29达成</t>
  </si>
  <si>
    <t>投放动作</t>
  </si>
  <si>
    <t>场域活动提报，拉进流量，张凌赫官宣流量加持，触动粉丝经济购买，拉动新客购买；会员老客同比微降影响整体老客增幅小，下半月做出调整，增加老客触达频次和调整利益点机制，同比增幅进一步提高（2.02%→8.72%）</t>
  </si>
  <si>
    <t>300万</t>
  </si>
  <si>
    <t>420万</t>
  </si>
  <si>
    <t>380万</t>
  </si>
  <si>
    <t>近180天浏览/加购人群、类目高潜人群、入会未完成首单人群</t>
  </si>
  <si>
    <t>触达11-5/21-10/99-10优惠券和入会抽奖活动，实现品牌拉新</t>
  </si>
  <si>
    <t>150万</t>
  </si>
  <si>
    <t>沉默及流失会员/近90天cps人群/试用人群</t>
  </si>
  <si>
    <t>触达200-30/300-70等大额优惠券及试用产品回购券，实现品牌一单转二单</t>
  </si>
  <si>
    <t>26年学生价品增加至38个，进行学生价派样，增加店铺自然学生销售，校园频道拉新补贴券提升销售</t>
  </si>
  <si>
    <t>45万</t>
  </si>
  <si>
    <t>70万</t>
  </si>
  <si>
    <t>60万</t>
  </si>
  <si>
    <t>下单未付款人群、近一年购买学生人群、价格高敏感人群</t>
  </si>
  <si>
    <t>触达11-5/21-10优惠券及会员开卡礼包，将学生人群转化为可持续会员人群</t>
  </si>
  <si>
    <t>26年14个plus95折商品，店铺新增109-10plus券，以及今年平台plus200-25券，二元促销引起plus券使用</t>
  </si>
  <si>
    <t>290万</t>
  </si>
  <si>
    <t>260万</t>
  </si>
  <si>
    <t>意向购买爽肤水人群/高客单价值人群</t>
  </si>
  <si>
    <t>触达300-70优惠券及店铺满赠活动，沉淀店铺高价值用户</t>
  </si>
  <si>
    <t>客单价（3月）</t>
  </si>
  <si>
    <t>客单价（2月）</t>
  </si>
  <si>
    <t>99-10优惠券，用券1600+，成交销售额21.2万</t>
  </si>
  <si>
    <t>1.1元试用拉新4500+
2.开卡礼包拉新1600+ 
3.入会抽奖拉新700+</t>
  </si>
  <si>
    <t>1.整体客单下降主要是由于1元派样以及派样力度下探，下半月通过提高会员活动门槛，对高价值用户进行精准触达与高客单产品定向推送，客单同比下滑有所收窄，会员客单环比有效提升。
2.会员老客销售同比微降，主要是由于3.1-3.9号前期优惠券力度不够，200-30优惠券用券率低，转化不够理想，后期调整为300-70优惠券，用券率提高30%，转化效果提升，同比下滑收窄，后续将优化提升，根据用户购买能力精准圈选投放。</t>
  </si>
  <si>
    <t>1.防晒喷雾等季节性产品设置会员专享价、积分兑换、拉新好礼等。 
2.针对新客投放11-5/21-10/99-10优惠券，针对老客投放200-30/300-70等大额优惠券，锁定高价值会员人群。
3.针对上季度试用/cps人群/大促活动人群持续进行入会触达，转化为可持续会员人群，沉淀长期用户。</t>
  </si>
  <si>
    <t>3月环比增长4.89%</t>
  </si>
  <si>
    <t>99-10优惠券，用券620+，成交销售额7.3万。200-30优惠券，用券42，成交销售额0.7万。300-70优惠券，用券65，成交销售额1.8万。</t>
  </si>
  <si>
    <t>1.会员冲刺，引导成交10.7万+
2.下单有礼活动，引导成交3.9万+ 
3.积分兑换优惠券/周边/低价商品，本月总计积分使用17万+，环增6.25%</t>
  </si>
  <si>
    <t>3月环比下滑2.17%</t>
  </si>
  <si>
    <t>会员专享权益放大，推送专属券和会员活动，引导分享裂变，带动会员增长。</t>
  </si>
  <si>
    <t>3月环比增长4.04%</t>
  </si>
  <si>
    <t>3月（3.1-3.30）</t>
  </si>
  <si>
    <t>3月试用引导达成销售11.45万，同比增长81.66%。单量同增307.71%，成交用户同增268.75%</t>
  </si>
  <si>
    <r>
      <rPr>
        <sz val="9"/>
        <color theme="1"/>
        <rFont val="Roboto-jmt"/>
        <family val="1"/>
      </rPr>
      <t>1</t>
    </r>
    <r>
      <rPr>
        <sz val="9"/>
        <color theme="1"/>
        <rFont val="Roboto-jmt"/>
        <family val="1"/>
      </rPr>
      <t>00294440886</t>
    </r>
  </si>
  <si>
    <t>嘭润次抛单支</t>
  </si>
  <si>
    <r>
      <rPr>
        <sz val="9"/>
        <color theme="1"/>
        <rFont val="Roboto-jmt"/>
        <family val="1"/>
      </rPr>
      <t>1</t>
    </r>
    <r>
      <rPr>
        <sz val="9"/>
        <color theme="1"/>
        <rFont val="Roboto-jmt"/>
        <family val="1"/>
      </rPr>
      <t>00220630837</t>
    </r>
  </si>
  <si>
    <t>水光肌次抛单支</t>
  </si>
  <si>
    <r>
      <rPr>
        <sz val="9"/>
        <color theme="1"/>
        <rFont val="Roboto-jmt"/>
        <family val="1"/>
      </rPr>
      <t>1</t>
    </r>
    <r>
      <rPr>
        <sz val="9"/>
        <color theme="1"/>
        <rFont val="Roboto-jmt"/>
        <family val="1"/>
      </rPr>
      <t>00023977889</t>
    </r>
  </si>
  <si>
    <t>1.0喷雾100ml</t>
  </si>
  <si>
    <r>
      <rPr>
        <sz val="9"/>
        <color theme="1"/>
        <rFont val="Roboto-jmt"/>
        <family val="1"/>
      </rPr>
      <t>1</t>
    </r>
    <r>
      <rPr>
        <sz val="9"/>
        <color theme="1"/>
        <rFont val="Roboto-jmt"/>
        <family val="1"/>
      </rPr>
      <t>00220630841</t>
    </r>
  </si>
  <si>
    <t>嘭润水乳PP</t>
  </si>
  <si>
    <r>
      <rPr>
        <sz val="9"/>
        <color theme="1"/>
        <rFont val="Roboto-jmt"/>
        <family val="1"/>
      </rPr>
      <t>1</t>
    </r>
    <r>
      <rPr>
        <sz val="9"/>
        <color theme="1"/>
        <rFont val="Roboto-jmt"/>
        <family val="1"/>
      </rPr>
      <t>00283767750</t>
    </r>
  </si>
  <si>
    <t>凌赫红100ml</t>
  </si>
  <si>
    <t>2026-5.1-5.27品牌市占</t>
  </si>
  <si>
    <t>其中达播销售2000万，李佳琪1000万</t>
  </si>
  <si>
    <t>因达播排期差异，品牌整体销售同比下降4.96%；
得益于自营资源倾斜及平台补贴活动，1-27日，自营店销售额达682万，同比增长58.24%；同期POP店销售额为208万，同比下降34.17%；</t>
  </si>
  <si>
    <t>2026-5.1-5.27 自营成交分析</t>
  </si>
  <si>
    <t>站内推广预算加码 +CPS资源前置+平台活动加持带动搜推流量增长；</t>
  </si>
  <si>
    <t>①5月份伴随母亲节、520、618活动，加大站内推广花费，提升广告曝光和触达人数，积累店铺高潜人群
②优化推广人群，增加对竞品人群、618大促敏感人群等触达</t>
  </si>
  <si>
    <t>本月CPS联盟超头部团队，集中618前期节点进行爆品全社群渠道铺量，借助平台资源提升转化达到高效起量</t>
  </si>
  <si>
    <t>去年平台拉取大额试用券投放，今年缺失平台资源扶持以及试用频道门槛提高导致同比下滑</t>
  </si>
  <si>
    <t>今年喷雾优惠价格前台展示，直播间专享利益点缺失，同比下滑；设置直播间399满赠送周边活动和直播间专属优惠券，部分喷雾设置直播专属加赠，提升直播间专属权益</t>
  </si>
  <si>
    <t>2026-5.1-5.27自营货品分析</t>
  </si>
  <si>
    <t>5.1-5.27达成</t>
  </si>
  <si>
    <t>1.0两大及三大均借助平台消费券以及plus券等凑单搭配cps推广加持实现同比提升</t>
  </si>
  <si>
    <t>1.继续冲刺1.0喷雾的两大销售目标；持续通过“影分身”方式提报百亿补贴，主品提报秒杀以增加场域流量；后续将CPS推广与“黑五”活动常态化结合；
2、稳定秒杀+百补资源位货品销售；
3. 修护喷雾与礼盒持续入库，调整周边绑定，触动粉丝经济，</t>
  </si>
  <si>
    <t>2.0两大主要借助平台百补出量以及cps推广引入15w+，实现同比增长；3大自跟价达播机制后销售增长明显</t>
  </si>
  <si>
    <t>修护喷雾礼盒上线与站内推广加码带动修护喷雾完成销售41.8万，目前推广预算已调整，开门红期间同步完成站外短信投放；</t>
  </si>
  <si>
    <t>嘭润面霜提升主要通过浦东消费券、plus券、以及校园券21-20等优惠券加持实现同比增长</t>
  </si>
  <si>
    <t>嘭润次抛同比增长，主要得益于平台投放叠加浦东消费券、PLUS会员券及黑五券等多券联动，凑单优惠力度加大，有效促进转化。</t>
  </si>
  <si>
    <t>凝时次抛通过浦东消费券补贴目前已超额达成本月制定目标</t>
  </si>
  <si>
    <t>本月累计成交10.7万，转化率提升的同时访客下降较多，已提高关键词出价；跟进达播6月央视网销售；</t>
  </si>
  <si>
    <t>2026-5.1-5.27自营人群分析</t>
  </si>
  <si>
    <t>5.1-5.26达成</t>
  </si>
  <si>
    <t>618投放人群</t>
  </si>
  <si>
    <t>618投放动作</t>
  </si>
  <si>
    <t>5月21-24日秒杀，及百补等场域活动协同平台消费券引流，利用黑五、PLUS会员券叠加CPS推广形成增量，带动销售175.5万元，拉动整体新客购买转化提升；会员增加老客触达频次和调整赠品利益点机制，老客同比增长；</t>
  </si>
  <si>
    <t>近180天浏览加购&amp;下单未付款人群/大促偏好&amp;价格敏感人群/试用派样人群</t>
  </si>
  <si>
    <t>触达11-5/21-10/99-10优惠券和店铺抽金卡/亲签活动</t>
  </si>
  <si>
    <t>25年618&amp;双11购买人群/cps推广人群/高价值复购人群</t>
  </si>
  <si>
    <t>触达188-20/300-60等大额优惠券和购物金活动</t>
  </si>
  <si>
    <t>26年持续做学生价，sku增加至38个，1-24号校园频道补贴21-20拉新券引导销售47.6W，拉动销售提升</t>
  </si>
  <si>
    <t>近一年购买学生人群、价格高敏感人群</t>
  </si>
  <si>
    <t>2026年PLUS会员95折商品池扩增至44个，二元促销机制提升PLUS券使用率；CPS推广叠加满减券（满200减25/满480减60）协同发力，有效拉动销售增长。</t>
  </si>
  <si>
    <t>会员5.1-5.26</t>
  </si>
  <si>
    <t>618活动</t>
  </si>
  <si>
    <t>99-10优惠券，用券1400+，成交销售额19.3万</t>
  </si>
  <si>
    <t>1.开卡礼包：拉新1400+
2.新会员入会抽奖：拉新1500+</t>
  </si>
  <si>
    <t>本期客单价同比增长49.32%，主要是由于喷雾1.0三大的推广，拉动会员整体客单，以及去年1元派样，拉低会员客单，剔除后，客单同比增长6.3%。活动方面，会员冲刺活动调整参与门槛后，短期（5.21-5.26）销售额占去年618会员冲刺活动整体体量的52%，活动拉动效果突出。</t>
  </si>
  <si>
    <t>1.会员开卡：入会抽代言人周边-海报合集
2.会员首购：首购满89元得200京豆
3.挑战计划：满99元得3片面膜（限2000），降低活动门槛增加参与率，会员更好拿到奖励增加会员黏性和体验感，拉升基础性消费，以及提高会员客单（往期会员挑战计划客单在80-90元左右）
4.积分兑换：200积分=贴纸（100份） 500积分=飘带（100份） 599=光栅海报   799=海报合集  1230积分=小卡全套
5.老客邀新：邀请入会10人得面膜3片，邀请入会20人得次抛5支，邀请入会30人得喷雾100ml，邀请50人得喷雾300ml</t>
  </si>
  <si>
    <t>99-10优惠券，用券800+,成交销售额9.4万 300-60优惠券，用券200+，成交销售额6.8万</t>
  </si>
  <si>
    <t>1.会员冲刺活动，累计引导成交5.6万+
2.0.1元会员锁客，优惠券使用30+，成交销售额0.8万（5.21日-5.26日）</t>
  </si>
  <si>
    <t>设置会员加赠、会员专属券，放大会员权益；会员活动持续触达，cps推广引导分享裂变，带动会员增长。</t>
  </si>
  <si>
    <t>单品名称</t>
  </si>
  <si>
    <t>日常价格</t>
  </si>
  <si>
    <t>付费试用价格</t>
  </si>
  <si>
    <t>计划派样数量</t>
  </si>
  <si>
    <t>计划销售</t>
  </si>
  <si>
    <t>派样重点日期</t>
  </si>
  <si>
    <t>后续运营策略</t>
  </si>
  <si>
    <t>5月（5.1-5.24）</t>
  </si>
  <si>
    <t>100220630801</t>
  </si>
  <si>
    <t>双管洁面试用装（1g+1g）</t>
  </si>
  <si>
    <t>根据试用盛典活动排期</t>
  </si>
  <si>
    <t>通过数坊/向试用用户推送99-10品牌券，并生成DMP人群标签进行广告投放；
借助618大促与用户定向运营，规划实际30天正装复购率达0.5%，销售达成约12800元；</t>
  </si>
  <si>
    <t>100294440886</t>
  </si>
  <si>
    <t>颐嘭润次抛单支1.3ml</t>
  </si>
  <si>
    <t>100220630837</t>
  </si>
  <si>
    <t>水光肌次抛单支1.3ml</t>
  </si>
  <si>
    <t xml:space="preserve">5.1-5.27试用引导达成销售16.9万，同比下滑78.21%，环增162.22%（主要是喷雾及喷雾组合装上架试用，提报平台新人券，带动销售）。25年5月开始平台拉取试用商品投放19-18以及39-38元大额试用券，销售下滑较为明显，26年试用品只能入轻货仓，派样产品考核严格导致部分品无法派样sku减少，以及没有平台券助力导致销售同比下滑      </t>
  </si>
  <si>
    <t>100220630841</t>
  </si>
  <si>
    <t>嘭润水乳组合两连袋</t>
  </si>
  <si>
    <t>嘭润面霜组合两连袋</t>
  </si>
  <si>
    <t>100251404713</t>
  </si>
  <si>
    <t>玻尿酸面膜试用组合</t>
  </si>
  <si>
    <t>100260325560</t>
  </si>
  <si>
    <t>嘭润水乳霜四连袋尝鲜组合</t>
  </si>
  <si>
    <t>5.1-6.21</t>
  </si>
  <si>
    <t>凌赫红喷雾100ml</t>
  </si>
  <si>
    <t>补水小喷+2片面膜</t>
  </si>
  <si>
    <t>100325273424</t>
  </si>
  <si>
    <t>胶原蛋白定制款100ml</t>
  </si>
  <si>
    <t>1.0喷雾100ml+面膜*2</t>
  </si>
  <si>
    <t>100124984814</t>
  </si>
  <si>
    <t>2.0喷雾100ml+面膜*2</t>
  </si>
  <si>
    <t>100230489825-水光精华面膜5g*20袋</t>
  </si>
  <si>
    <t>100308737328</t>
  </si>
  <si>
    <t>胶原蛋白喷雾100ml+面膜*2</t>
  </si>
  <si>
    <t>销售</t>
  </si>
  <si>
    <t>推广花费</t>
  </si>
  <si>
    <t>推广产出</t>
  </si>
  <si>
    <t>5.1-6.21期间派样共计3.2W件，计划产生销售额32W，1元品1W件，9.9元以下品1W件，其余补充试用品1.2W件</t>
  </si>
  <si>
    <t>中国日报</t>
  </si>
  <si>
    <t>央视网</t>
  </si>
  <si>
    <t>2026-5.1-5.31品牌市占</t>
  </si>
  <si>
    <t>因达播排期差异，品牌整体销售同比增长3.67%；
得益于自营资源倾斜及平台补贴活动，5月自营店销售额达833万，同比增长61.47%；同期POP店销售额为246万，同比下降31.28%；</t>
  </si>
  <si>
    <t>2026-5.1-5.31 自营成交分析</t>
  </si>
  <si>
    <t>2026-5.1-5.31自营货品分析</t>
  </si>
  <si>
    <t>5.1-5.31达成</t>
  </si>
  <si>
    <t>2026-5.1-5.31自营人群分析</t>
  </si>
  <si>
    <t>会员5.1-5.31</t>
  </si>
  <si>
    <t>本期客单价同比增长45.43%，主要是由于喷雾1.0三大的推广，拉动会员整体客单，以及去年1元派样，拉低会员客单，剔除后，客单同比增长6.3%。活动方面，会员冲刺活动调整参与门槛后，销售额占去年618会员冲刺活动整体体量的52%，活动拉动效果突出。</t>
  </si>
  <si>
    <t>5月（5.1-5.31）</t>
  </si>
  <si>
    <t xml:space="preserve">5.1-5.31试用引导达成销售16.9万，同比下滑78.21%，环增162.22%（主要是喷雾及喷雾组合装上架试用，提报平台新人券，带动销售）。25年5月开始平台拉取试用商品投放19-18以及39-38元大额试用券，销售下滑较为明显，26年试用品只能入轻货仓，派样产品考核严格导致部分品无法派样sku减少，以及没有平台券助力导致销售同比下滑      </t>
  </si>
  <si>
    <t>2026-3.1-3.9  品牌市占</t>
  </si>
  <si>
    <t>3.1-3.9日合计完成销售额179.7万，同比增长19.88%，销售同增主要以38活动加持、代言人二次官宣流量持续赋能以及站内推广加码所驱动；</t>
  </si>
  <si>
    <t>2026-3.1-3.9 自营成交分析</t>
  </si>
  <si>
    <t>①3.8女神节活动带动整体板块流量上涨；②超级星粉日站内场域活动（代言人相关词条与素材）增加曝光流量；</t>
  </si>
  <si>
    <t>①借代言人宣发节点，京准通针对代言人词条进行高投入，拉升推广产出②相较于去年同期增加了开屏广告，并做二次短信触达，强化站内站外流量承接与转化；③优化站内推广计划，提高爆款预算，拉升即时转化率；</t>
  </si>
  <si>
    <t>下滑主要因店铺在28号完成了推广资源前置，加上28号活动总体完成29万，去年完成了19.5万，同比增长48.7%。</t>
  </si>
  <si>
    <t>去年同期场域活动提报较少，今年对应提报动作增多，秒杀频道重点以1.0两大以及2.0三大等爆品喷雾频繁提报导致销售增长显著</t>
  </si>
  <si>
    <t>2026-3.1-3.9 自营货品分析</t>
  </si>
  <si>
    <t>3.1-3.9达成</t>
  </si>
  <si>
    <t>持续提报秒杀活动导致同比增长明显</t>
  </si>
  <si>
    <t>由于场域建议价较低，3月暂未提报场域活动导致销售下滑明显，已提报百补活动，日均销售提升至6k元；</t>
  </si>
  <si>
    <t>近期持续跟价ljq直播价导致同比提升明显</t>
  </si>
  <si>
    <t>胶原蛋白喷雾系列合计完成销售额17.28万，对比官宣当天增长99.3%</t>
  </si>
  <si>
    <t>3月配合代言人官宣嘭润面霜花费向喷雾系列转移，花费减少导致销售同比下滑，后续提升面霜系列花费关注销售情况，以及搭配平台券及场域活动提报</t>
  </si>
  <si>
    <t>销售虽下滑但转化提升，流量更为精准，后续调整推广出价以及增加商品长尾词测试效果，持续做人群复购及日销提升</t>
  </si>
  <si>
    <t>凝时次抛【本月上新】</t>
  </si>
  <si>
    <t>做好库存跟进，承接外部平台直播流量外溢，触达成交</t>
  </si>
  <si>
    <t>达播外溢流量转化，3月销售5.4万+</t>
  </si>
  <si>
    <t>2026-3.1-3.9自营人群分析</t>
  </si>
  <si>
    <t>38心智下重点针对老客及会员做了利益点释放，通过会员券人群投放，以及38大促囤货心智，引起老客销售增长，张凌赫官宣，触动粉丝经济购买，拉动新客购买</t>
  </si>
  <si>
    <t>26年学生价品增加至38个，且进行学生价派样，增加店铺自然学生销售，校园频道拉新补贴券提升销售</t>
  </si>
  <si>
    <t>26年新增加了14个plus95折商品，以及今年平台plus200-25券，二元促销引起plus券使用</t>
  </si>
  <si>
    <t>99-10优惠券，用券600+，成交销售额7.1万</t>
  </si>
  <si>
    <t>1.1元试用拉新4500+
2.开卡礼包拉新800+</t>
  </si>
  <si>
    <t>1.1元试用拉低整体客单，总计派样7000+单，会员低价派样（20元以下）累计1700+单，整体客单下滑，剔除拉新派样品会员合计成交人数0.5万，同比增加47%。
2.会员老客销售微降主要由于会员优惠券力度不够，吸引力不足，转化效果不够理想。
3.后续主要针对老客人群投放200-50/300-70等高价值优惠券，促进老客成交转化。</t>
  </si>
  <si>
    <t>99-10优惠券，用券180+，成交销售额2.1万</t>
  </si>
  <si>
    <t>1.3.8会员冲刺，引导成交7.1万+
2.2.28-3.9官宣下单有礼活动，引导成交3.9万+</t>
  </si>
  <si>
    <t>38会员专享权益放大，增加会员派样力度和下单有礼活动，引导分享裂变，带动新会员增长与老会员复购</t>
  </si>
  <si>
    <t>3月（3.1-3.9）</t>
  </si>
  <si>
    <t>今年提报了38试用招商，3.1-3.9同比去年试用引导达成销售3.9万，同比增长120.08%。单量同增849.15%，成交用户同增715.52%</t>
  </si>
  <si>
    <t>嘭润次抛单只</t>
  </si>
  <si>
    <t>水光肌次抛单只</t>
  </si>
  <si>
    <t>嘭润水乳pp</t>
  </si>
  <si>
    <t>2026-3.1-3.23  品牌市占</t>
  </si>
  <si>
    <t>品牌整体增长依旧抖音为主要增量；
京东自营店3.1-3.23日合计完成销售额389万，同比增长17.52%，销售同增主要以代言人二次官宣流量持续赋能、站内推广优化持续拉升流量及站内场域活动驱动渠道市占较月初提升1pct；</t>
  </si>
  <si>
    <t>2026-3.1-3.23 自营成交分析</t>
  </si>
  <si>
    <t>3.8女神节活动与站内场域活动增加曝光流量；</t>
  </si>
  <si>
    <t>①借代言人宣发节点，京准通所有计划针对代言人词条进行高投入，提升流量曝光②增加了开屏广告，并做二次短信触达，强化站内站外流量承接与转化；③优化站内推广计划，提高爆款预算，拉升即时转化率；</t>
  </si>
  <si>
    <t>2月底官宣销售资源前置，且三月中下旬之后没有跨店满减，无推广价格优势吸引消费下单导致销售下滑</t>
  </si>
  <si>
    <t>3.10-3.23直播间喷雾限时限量额外加赠张凌赫新形象周边，提升转化，强化直播间性价比心智，同比下滑20.79%，下降幅度相较上一周期明显收窄</t>
  </si>
  <si>
    <t>2026-3.1-3.23 自营货品分析</t>
  </si>
  <si>
    <t>3.1-3.23达成</t>
  </si>
  <si>
    <t>1.0喷雾同比增长62%，锚定2大规格进行场域活动提报与推广预算加码，3大规格完成百补活动提报，日销稳步提升至6k元；</t>
  </si>
  <si>
    <t>1、继续冲刺1.0喷雾2大销售；持续影分身提报百补，主品提报秒杀增加场域流量2、稳定秒杀+百补资源位货品销售；3. 修护喷雾持续入库，调整周边绑定，触动粉丝经济，礼盒跟进入仓，增加库存</t>
  </si>
  <si>
    <t>2.0喷雾整体销售与去年持平，其中2大规格提报百补活动拉动销售，3大规格跟价站外达播做即时转化；</t>
  </si>
  <si>
    <t>站内推广计划侧重于职场用户进行重点投放；</t>
  </si>
  <si>
    <t>胶原蛋白喷雾联名款3月合计完成销售额27万，增长原因主要为代言人流量赋能及外溢流程承接，后续重点跟进货品库存；</t>
  </si>
  <si>
    <t>代言人官宣后流量整体倾向于喷雾品线，3月中旬调整推广计划，目前滋润款销售提升，后续通过提报场域活动带动销售；</t>
  </si>
  <si>
    <t>嘭润次抛同比略有下滑，主要原因为80支组合没有跨店满减等平台活动，用户转化率下降，目前已经针对未购用户做利益点投放；</t>
  </si>
  <si>
    <t>站内外推广承接达播外溢流量，站外直投于26日进行投放测试；</t>
  </si>
  <si>
    <t>2026-3.1-3.22自营人群分析</t>
  </si>
  <si>
    <t>3.1-3.22达成</t>
  </si>
  <si>
    <t>场域活动提报，拉进流量，张凌赫官宣流量加持，触动粉丝经济购买，拉动新客购买</t>
  </si>
  <si>
    <t>客单价（3.1-3.22）</t>
  </si>
  <si>
    <t>客单价（3.1-3.9）</t>
  </si>
  <si>
    <t>客单价（3.10-3.22）</t>
  </si>
  <si>
    <t>99-10优惠券，用券1300+，成交销售额16.9万</t>
  </si>
  <si>
    <t>1.1元试用拉新4500+
2.开卡礼包拉新1300+</t>
  </si>
  <si>
    <t>本期客单价环比上期得到有效提升，主要通过提高会员活动门槛，对高价值用户进行精准触达与高客单产品定向推送，增加大额优惠券触达。</t>
  </si>
  <si>
    <t>35.76%（环比）</t>
  </si>
  <si>
    <t>99-10优惠券，用券480+，成交销售额5.8万。300-70优惠券，用券15，成交销售额0.4万。</t>
  </si>
  <si>
    <t>1.会员冲刺，引导成交10.7万+
2.下单有礼活动，引导成交3.9万+</t>
  </si>
  <si>
    <t>20.83%（环比）</t>
  </si>
  <si>
    <t>3.53%（环比）</t>
  </si>
  <si>
    <t>剔除1元派样后，3.1-3.22会员客单价为78.62，同比下滑较上周期收窄</t>
  </si>
  <si>
    <t>3月（3.1-3.22）</t>
  </si>
  <si>
    <t>3.1-3.22试用引导达成销售9.6万，同比增长94.89%。单量同增375.89%，成交用户同增323.51%</t>
  </si>
  <si>
    <t>水光肌3片</t>
  </si>
  <si>
    <t>1.0小喷+2片面膜</t>
  </si>
  <si>
    <t>2.0小喷+2片面膜</t>
  </si>
  <si>
    <t>2026-4.1-4.13 品牌市占</t>
  </si>
  <si>
    <t>品牌整体保持增长，抖音官媒合作本周期内产出较高（单场2300w+）带动抖音渠道市占增幅较大，京东直播期内外溢销售预计5.2万；
京东自营店4月1日至13日合计完成销售额210万元，同比增长17.51%。自“10倍增长计划”后，销售逐步恢复，其中CPS推广及付费广告优化是驱动销售增长的主要因素。</t>
  </si>
  <si>
    <t>2026-4.1-4.13 自营成交分析</t>
  </si>
  <si>
    <t>站外直播流量+推广计划调整带动站内搜索流量增长</t>
  </si>
  <si>
    <t>推广计划整体优化，其中重点调整双管洁面、嘭润次抛、撕拉面膜推广计划，带动产出产出提升，其中撕拉面膜产出8.9万，ROI:5.6</t>
  </si>
  <si>
    <t>应季主推爆品1.0三大喷雾在大团长的推广下借助消费券及plus券等资源优势带来销售18万，提升了同比增长</t>
  </si>
  <si>
    <t>去年4月开始平台拉取试用商品投放19-18以及39-38元大额试用券，由于今年试用品只能入轻货仓以及没有平台券助力导致同比下滑</t>
  </si>
  <si>
    <t>今年喷雾优惠价格前台展示，直播间专享利益点缺失，同比下滑；已增加直播间专属优惠券，部分喷雾设置直播专属加赠，提升直播间专属权益</t>
  </si>
  <si>
    <t>2026-4.1-4.13 自营货品分析</t>
  </si>
  <si>
    <t>4.1-4.13达成</t>
  </si>
  <si>
    <t>1.0两大通过百补等场域活动提报以及日常推广实现同比增长76.82%；三大提报平台黑五以及plus券搭配cps推广加持实现同比提升502.08%；后续已调整策略，17-18日cps推广2大；</t>
  </si>
  <si>
    <t>2.0两大日常提报百补由于中途拉券破价被迫暂停场域活动提报改为直播价形式实现导致同比下滑，目前已恢复百补提报；3大由于缺失直播跟价导致销售同比下滑</t>
  </si>
  <si>
    <t>修护喷雾合计销售9.9万，主要针对职场用户做重点投放；礼盒预计本周完成入库；</t>
  </si>
  <si>
    <t>由于季节原因以及代言人影响店铺流量整体倾向于喷雾品线，调整推广计划后，目前滋润款销售提升，后续提高秒杀等场域活动提报频次提升销售；</t>
  </si>
  <si>
    <t>嘭润次抛同增3.33%，主要靠杭州消费券、超补券以及品类券等优惠券突出单盒性价比；</t>
  </si>
  <si>
    <t>4日与12日针对站外直播提高推广费用，后续根据直播动作调整推广预算；</t>
  </si>
  <si>
    <t>2026-4.1-4.13自营人群分析</t>
  </si>
  <si>
    <t>场域活动提报，拉进流量，4.9号cps推广拉动新客流量，新客销售28W，同增272%，拉动整体新客购买增长；会员老客增加老客触达频次和调整利益点机制，老客同比增长</t>
  </si>
  <si>
    <t>26年持续做学生价，sku增加至38个，校园频道补贴21-20拉新券，销售提升</t>
  </si>
  <si>
    <t>26年plus95折商品增加，二元促销引起plus券使用，cps结合plus480-60推广，销售增长较为明显</t>
  </si>
  <si>
    <t>会员4.1-4.12</t>
  </si>
  <si>
    <t>99-10优惠券，用券700+，成交销售额8.6万</t>
  </si>
  <si>
    <t>1.开卡礼包：拉新700+
2.新会员入会抽奖：拉新20+</t>
  </si>
  <si>
    <t>本期客单价同比增长8.95%，主要是由于喷雾1.0三大的推广，带动了会员整体客单增长。后续将对cps人群进行持续触达，引导复购，转化为可持续购买的会员资产。</t>
  </si>
  <si>
    <t>99-10优惠券，用券500+,成交销售额6.4万 300-60优惠券，用券60+，成交销售额2.1万 300-70优惠券，用券40+，成交销售额0.9万</t>
  </si>
  <si>
    <t>1.会员复购有礼活动，累计引导成交3.2万+
2.积分兑换优惠券/周边/低价商品，本期积分使用7.2万+，环增1.14%</t>
  </si>
  <si>
    <t>会员专享权益放大，专属券和会员活动持续触达，cps推广引导分享裂变，带动会员增长。</t>
  </si>
  <si>
    <t>4月（4.1-4.12）</t>
  </si>
  <si>
    <t>4.1-4.12试用引导达成销售2.2万，同比下滑30%。单量下滑37.32%，成交用户下滑37.23%，25年4月开始平台拉取试用商品投放19-18以及39-38元大额试用券，由于今年试用品只能入轻货仓，派样产品考核严格导致部分品无法派样sku减少以及没有平台券助力导致同比下滑</t>
  </si>
  <si>
    <t>面膜组合</t>
  </si>
  <si>
    <t>2026-4.1-4.27 品牌市占</t>
  </si>
  <si>
    <t>品牌整体保持增长，抖音官媒合作4月整体产出2400w+带动抖音渠道市占增幅较大，京东直播期内外溢销售预计5.7万；
京东自营店4月1日至27日合计完成销售额435万元，同比增长18.42%；站内推广计划优化+cps推广为增长主要驱动力；京东POP店下滑原因为去年同期首次提报CPS超补活动（今年暂无匹配资源）+cps部分资源向自营店转移</t>
  </si>
  <si>
    <t>2026-4.1-4.27 自营成交分析</t>
  </si>
  <si>
    <t>①撕拉面膜提升推广日预算，承接其他渠道流量外溢，产出：14.3万,  ROI:3.78；
②洁面、嘭润次抛优化推广计划，带动产出产出提升。</t>
  </si>
  <si>
    <t>应季主推爆品1.0三大喷雾、1.0两大借助cps超级补贴、消费券及plus券等资源下进行推广有效提升销售</t>
  </si>
  <si>
    <t>去年4月平台拉取大额试用券投放，今年缺失平台资源扶持以及试用频道门槛提高导致同比下滑</t>
  </si>
  <si>
    <t>今年喷雾优惠价格前台展示，直播间专享利益点缺失，同比下滑；已增加直播间专属福利，部分喷雾设置直播专属加赠，提升直播间专属权益</t>
  </si>
  <si>
    <t>2026-4.1-4.27自营货品分析</t>
  </si>
  <si>
    <t>4.1-4.27达成</t>
  </si>
  <si>
    <t>1.0两大通过百补等场域活动提报以及日常推广实现同比增长88.31%；三大借助cps超补、消费券以及plus券搭配推广加持实现同比提升303.28%</t>
  </si>
  <si>
    <t>2.0两大由于百补拉券破价暂停几天场域活动提报，中旬恢复百补提报后销售差额逐渐缩小；3大由于缺失直播跟价导致销售同比下滑</t>
  </si>
  <si>
    <t>修护喷雾合计销售23.1万，目前站内投放已添加定向人群，5月借助大促完成预算追加；</t>
  </si>
  <si>
    <t>滋润版嘭润面霜提升主要通过调整推广计划以及杭州消费券、校园券21-20、品类券等优惠券加持实现同比微增</t>
  </si>
  <si>
    <t>嘭润次抛系列同比微增，主要靠杭州消费券、超补券以及品类券等优惠券凑单下单到手更优惠；</t>
  </si>
  <si>
    <t>凝时次抛通过平台券加持截止27日超额达成本月目标，达成率140%</t>
  </si>
  <si>
    <t>通过提升推广预算，日均销售提升至5k+（环比提升25%），转化提升至10.5%（较上周期提升0.2pct）；</t>
  </si>
  <si>
    <t>2026-4.1-4.27自营人群分析</t>
  </si>
  <si>
    <t>4.1-4.227达成</t>
  </si>
  <si>
    <t>场域活动提报，消费券等平台券拉进流量，提升销售，黑五+plus券配合cps推广，销售增量，拉动整体新客购买增长；会员增加老客触达频次和调整利益点机制，老客同比增长较为明显</t>
  </si>
  <si>
    <t>26年持续做学生价，sku增加至38个，校园频道补贴21-20拉新券引导销售23.8W，销售提升</t>
  </si>
  <si>
    <t>会员4.1-4.26</t>
  </si>
  <si>
    <t>618活动规划</t>
  </si>
  <si>
    <t>99-10优惠券，用券1300+，成交销售额16.4万</t>
  </si>
  <si>
    <t>1.开卡礼包：拉新1300+
2.新会员入会抽奖：拉新180+</t>
  </si>
  <si>
    <t>本期客单价同比增长19.4%，主要是由于喷雾1.0三大的推广，带动了会员整体客单增长，以及25年4月15日会员1元派样，拉低了25年4月整体客单，剔除1元派样，本期会员客单同比提高5.04%。</t>
  </si>
  <si>
    <t>1.会员开卡：入会抽代言人周边-海报合集
2.会员首购：首购满89元得200京豆
3.会员复购：复购满259元得胶原蛋白喷雾100ml
4.挑战计划：满99元得3片面膜（限2000），降低活动门槛增加参与率，会员更好拿到奖励增加会员黏性和体验感，拉升基础性消费，以及提高会员客单（往期会员挑战计划客单在80-90元左右）
5.积分兑换：200积分=贴纸（100份） 500积分=飘带（100份）800积分=吧唧压链（100份）
6.老客邀新：邀请入会10人得面膜3片，邀请入会20人得次抛5支，邀请入会30人得喷雾100ml，邀请50人得喷雾300ml</t>
  </si>
  <si>
    <t>99-10优惠券，用券1100+,成交销售额13.3万 300-60优惠券，用券160+，成交销售额4.7万 300-70优惠券，用券60+，成交销售额1.5万</t>
  </si>
  <si>
    <t>1.会员复购有礼活动，累计引导成交8.1万+
2.积分兑换优惠券/周边/低价商品，本期积分使用15.1万+，环增1.98%</t>
  </si>
  <si>
    <t>4月（4.1-4.27）</t>
  </si>
  <si>
    <t>4.1-4.27试用引导达成销售6.6万，同比下滑68.93%。25年4月开始平台拉取试用商品投放19-18以及39-38元大额试用券，由于今年试用品只能入轻货仓，派样产品考核严格导致部分品无法派样sku减少，以及没有平台券助力导致销售同比下滑</t>
  </si>
  <si>
    <t>面膜3片组合装</t>
  </si>
  <si>
    <t>2026-4.1-4.30 品牌市占</t>
  </si>
  <si>
    <t>品牌整体保持增长，抖音官媒合作4月整体产出2400w+带动抖音渠道市占增幅较大，京东直播期内外溢销售预计5.7万；
京东自营店4月1日至30日合计完成销售额485万元，同比增长19.16%；站内推广计划优化+cps推广为增长主要驱动力；京东POP店下滑原因去年同期首次提报CPS超补活动（今年暂无匹配资源）+cps部分资源向自营店转移</t>
  </si>
  <si>
    <t>2026-4.1-4.30 自营成交分析</t>
  </si>
  <si>
    <t>2026-4.1-4.30自营货品分析</t>
  </si>
  <si>
    <t>4.1-4.30达成</t>
  </si>
  <si>
    <t>2026-4.1-4.30自营人群分析</t>
  </si>
  <si>
    <t>26年持续做学生价，sku增加至38个，校园频道补贴21-20拉新券引导销售27.6W，销售提升</t>
  </si>
  <si>
    <t>会员4.1-4.30</t>
  </si>
  <si>
    <t>99-10优惠券，用券1500+，成交销售额18.4万</t>
  </si>
  <si>
    <t>1.开卡礼包：拉新1500+
2.新会员入会抽奖：拉新180+</t>
  </si>
  <si>
    <t>本期客单价同比增长21.78%，主要是由于喷雾1.0三大的推广，带动了会员整体客单增长，以及25年4月15日会员1元派样，拉低了25年4月整体客单，剔除1元派样，本期会员客单同比提高8.16%。</t>
  </si>
  <si>
    <t>1.会员开卡：入会抽代言人周边-海报合集
2.会员首购：首购满89元得200京豆
3.会员复购：复购满259元得胶原蛋白喷雾100ml
4.挑战计划：满99元得3片面膜（限2000），降低活动门槛增加参与率，会员更好拿到奖励增加会员黏性和体验感，拉升基础性消费，以及提高会员客单（往期会员挑战计划客单在80-90元左右）
5.积分兑换：200积分=贴纸（100份） 500积分=飘带（100份） 599=光栅海报   799=海报合集  1230积分=小卡全套
6.老客邀新：邀请入会10人得面膜3片，邀请入会20人得次抛5支，邀请入会30人得喷雾100ml，邀请50人得喷雾300ml</t>
  </si>
  <si>
    <t>99-10优惠券，用券1200+,成交销售额15.6万 300-60优惠券，用券200+，成交销售额5.2万 300-70优惠券，用券60+，成交销售额1.6万</t>
  </si>
  <si>
    <t>1.会员复购有礼活动，累计引导成交8.1万+
2.积分兑换优惠券/周边/低价商品，本期积分使用17.5万+，环增1.61%</t>
  </si>
  <si>
    <t>4月（4.1-4.30）</t>
  </si>
  <si>
    <t>4月试用引导达成销售7.4万，同比下滑69%。25年4月开始平台拉取试用商品投放19-18以及39-38元大额试用券，由于今年试用品只能入轻货仓，派样产品考核严格导致部分品无法派样sku减少，以及没有平台券助力导致销售同比下滑</t>
  </si>
  <si>
    <t>2026-5.1-5.11品牌市占</t>
  </si>
  <si>
    <t>品牌整体保持增长；
京东自营店5月1日至11日合计完成销售额241万元，同比增长45.62%；站内推广计划优化+cps推广前置为增长主要驱动力；受资源向自营倾斜影响，POP店销售同比下滑，致渠道整体增速有所收窄。</t>
  </si>
  <si>
    <t>2026-5.1-5.11 自营成交分析</t>
  </si>
  <si>
    <t>站内推广预算加码 +CPS资源前置带动搜推流量增长；</t>
  </si>
  <si>
    <t>①母亲节、520促销等IP活动加持，站内推广5号开始加码推广；
②新增推广-品牌追击，目前投产1.5，持续进行优化；</t>
  </si>
  <si>
    <t>自营本月借助CPS超级佣金补贴提升渠道销售，安排头部渠道进行爆款推广集中爆量，截止到11号带来销售46.7万</t>
  </si>
  <si>
    <t>今年喷雾优惠价格前台展示，直播间专享利益点缺失，同比下滑；已增加直播间专属福利，部分喷雾设置直播专属加赠，提升直播间专属权益，同比下降幅度相较上一周期缩小</t>
  </si>
  <si>
    <t>2026-5.1-5.11自营货品分析</t>
  </si>
  <si>
    <t>5.1-5.11达成</t>
  </si>
  <si>
    <t>1.0两大通过百补等场域活动提报以及日常推广实现同比增长76.61%；三大借助cps超补、消费券以及plus券搭配推广加持实现同比提升741.5%</t>
  </si>
  <si>
    <t>2.0两大主要通过提报百补提升销售；三大由于缺失直播跟价导致销售同比下滑,后续会跟进价站外达播机制；</t>
  </si>
  <si>
    <t>通过优化站内广告投放方式与2大瓶百补及平台券加持，修护喷雾截止11号合计销售14.4万，环比提升28.9%, 同步站外已加投；</t>
  </si>
  <si>
    <t>滋润版嘭润面霜提升主要通过浦东消费券、plus券、以及校园券21-20等优惠券加持实现同比增长</t>
  </si>
  <si>
    <t>凝时次抛通过浦东消费券补贴目前达成销售进度22.5%</t>
  </si>
  <si>
    <t>5月推广预算已加投（环比提升15%），销售环比增加8%；通过修改主图视觉与标题优化后，转化率环比提升7%；</t>
  </si>
  <si>
    <t>5.1-5.10达成</t>
  </si>
  <si>
    <t>5月9日百亿补贴、5月10日秒杀等场域活动协同平台消费券引流，带动销售154.4万元；黑五、PLUS会员券叠加CPS推广形成增量，拉动新客购买转化提升；会员增加老客触达频次和调整利益点机制，老客同比增长较为明显；</t>
  </si>
  <si>
    <t>26年持续做学生价，sku增加至38个，1-10号校园频道补贴21-20拉新券引导销售20.9W，拉动销售提升</t>
  </si>
  <si>
    <t>会员5.1-5.10</t>
  </si>
  <si>
    <t>99-10优惠券，用券600+，成交销售额8.6万</t>
  </si>
  <si>
    <t>1.开卡礼包：拉新600+
2.新会员入会抽奖：拉新800+</t>
  </si>
  <si>
    <t>本期客单价同比增长13.66%，主要是由于喷雾1.0三大的推广，带动了会员整体客单增长，后续将对cps人群进行持续触达，引导复购，转化为可持续购买的会员资产。</t>
  </si>
  <si>
    <t>99-10优惠券，用券500+,成交销售额7.1万 300-70优惠券，用券30+，成交销售额1万</t>
  </si>
  <si>
    <t>1.会员复购有礼活动，累计引导成交7.9万+
2.积分兑换优惠券/周边/低价商品，本期积分使用6.5万+，环增1.14%</t>
  </si>
  <si>
    <t>5月（5.1-5.10）</t>
  </si>
  <si>
    <t xml:space="preserve">5.1-5.10试用引导达成销售6.07万，同比下滑80.94%。25年5月开始平台拉取试用商品投放19-18以及39-38元大额试用券，销售下滑较为明显，26年试用品只能入轻货仓，派样产品考核严格导致部分品无法派样sku减少，以及没有平台券助力导致销售同比下滑      </t>
  </si>
  <si>
    <t>2026-6.1-6.8品牌市占</t>
  </si>
  <si>
    <t>品牌整体销售同比增长52.11%；其中抖音自播借助618平台活动，销售增长；抖音达播专场排期延期至6月中下旬，会及时关注做好预算加码；天猫销售含1-3号尾款支付400万；
得益于自营资源倾斜及平台补贴活动，1-8日，自营店销售额达194万，同比增长44.78%；同期POP店销售额为61.1万，同比下降-4.23%；</t>
  </si>
  <si>
    <t>2026-6.1-6.8 自营成交分析</t>
  </si>
  <si>
    <t>CPS推广+场域活动加持+平台消费券带动搜推流量增长；</t>
  </si>
  <si>
    <t>主要由于品专推广效率的下滑，导致整体站内产出同比下滑</t>
  </si>
  <si>
    <t>凝聚头部渠道主推品类爆款，结合平台优惠券力度突破爆发带来店铺相应增长</t>
  </si>
  <si>
    <t>去年平台拉取大额试用券投放，今年缺失平台资源扶持以及试用频道门槛提高导致同比下滑；爆品喷雾秒杀站内场域流量加持结合cps站外推广，销售增长；</t>
  </si>
  <si>
    <t>喷雾优惠价格前台展示，直播间专享利益点缺失，同比下滑；设置直播间399满赠送周边活动和直播间专属优惠券，部分喷雾设置直播专属加赠，提升直播间专属权益</t>
  </si>
  <si>
    <t>2026-6.1-6.8自营货品分析</t>
  </si>
  <si>
    <t>6.1-6.8达成</t>
  </si>
  <si>
    <t>1.继续冲刺1.0喷雾的两大销售目标；主品提报秒杀以增加场域流量；后续将CPS推广与“黑五”活动常态化结合；
2、稳定秒杀+百补资源位货品销售；
3. 修护喷雾与礼盒持续入库，调整周边绑定，触动粉丝经济，</t>
  </si>
  <si>
    <t>2.0两大主要借助平台百补出量以及cps推广引入31.8w+，三大受1.0推广影响导致同比下滑明显</t>
  </si>
  <si>
    <t>修护喷雾合计完成6.8万，因大促开门红过后，流量与转化均有回落，已同步完成用户复投，同步沉淀高潮期用户；</t>
  </si>
  <si>
    <t>面霜流量重点向滋润面霜倾斜，滋润面霜同比微增主要通过提高推广预算搭配平台券提升转化</t>
  </si>
  <si>
    <t>嘭润次抛80支同比增长，主要得益于政府补贴券、PLUS会员券及黑五券等多券联动，凑单优惠力度加大，有效促进转化。</t>
  </si>
  <si>
    <t>凝时次抛目前进度符合预期，通过政府补贴等优惠券凑单到手更划算</t>
  </si>
  <si>
    <t>撕拉面膜合计完成2.9万，因大促开门红过后，转化有所回落，但流量环比上升，跟进6.14日站外达播，做好流量承接；</t>
  </si>
  <si>
    <t>礼遇场景</t>
  </si>
  <si>
    <t>联名礼盒组套合计达成2万，因修愈组套新形象上新后，官宣礼盒销售微降</t>
  </si>
  <si>
    <t>拉取25年两款官宣礼盒购买人群，以及张凌赫粉丝人群黑五触达</t>
  </si>
  <si>
    <t>修愈一夏喷雾周边组套（三大两小）</t>
  </si>
  <si>
    <t>2026-6.1-6.7自营人群分析</t>
  </si>
  <si>
    <t>6.1-6.7达成</t>
  </si>
  <si>
    <t>6月1-7日秒杀及百补等场域活动协同平台消费券引流，利用黑五、PLUS会员券叠加CPS推广形成增量，带动销售，试用频道1元试用拉动整体新客购买转化提升；会员增加老客触达频次和调整赠品利益点机制，老客同比增长；</t>
  </si>
  <si>
    <t>618学生力度增加，学生价sku33个，可叠加校园频道补贴券，1-7号校园频道补贴21-20拉新券共计引导销售11W，拉动销售提升</t>
  </si>
  <si>
    <t>PLUS会员95折商品池扩增至44个，618全周期提报（满200减25/满480减60）plus优惠券；定期CPS推广叠加满减券协同发力，有效拉动销售增长。</t>
  </si>
  <si>
    <t>会员6.1-6.7</t>
  </si>
  <si>
    <t>99-10优惠券，用券250+，成交销售额2.9万</t>
  </si>
  <si>
    <t>1.开卡礼包：拉新250+
2.新会员入会抽奖：拉新50+</t>
  </si>
  <si>
    <t>本期新客数同比增长显著，销售额并未同步走高，新客客单价下滑，主要由于1元派样；老客销售增长明显主要由于1.0三大的推广；6.1-6.7期间1元派样1472件，剔除后销售人数同增51.95%，客单价同增1.18%</t>
  </si>
  <si>
    <t>300-60优惠券，用券130+，成交销售额3.9万</t>
  </si>
  <si>
    <t>1.会员冲刺活动，累计引导成交17.5万+
2.0.1元会员锁客，优惠券使用30+，成交销售额0.8万</t>
  </si>
  <si>
    <t>6月（6.1-6.7）</t>
  </si>
  <si>
    <t>6.1-6.7试用引导达成销售3万，同比下滑75.36%。同期试用频道深层小喷+面膜组合销售1550份,1.0俩大669份，大幅度提升了销售。26年试用品提报卡控，1.0俩大已转移前台直接降价转为日销，试用销售影响下滑。</t>
  </si>
  <si>
    <t>面膜组合装3片</t>
  </si>
  <si>
    <t>2026-6.1-6.22品牌市占</t>
  </si>
  <si>
    <t>品牌整体销售同比增长59.66%；其中抖音主要为水光面膜官媒直播+自播结合赋能销售增长，其中6.14央视网销售273万；
得益于自营资源倾斜及平台补贴活动，1-22日，自营店销售额达650万，同比增长61.74%；同期POP店销售额为144.9万，同比下降7.05%；"</t>
  </si>
  <si>
    <t>2026-6.1-6.22 自营成交分析</t>
  </si>
  <si>
    <t>CPS推广+场域活动+站内推广计划带动搜索成交增长；推荐流量上涨，成交下滑主要是竞品价格下探，客户存在流失；</t>
  </si>
  <si>
    <t>618期间优化推广计划，增加对竞品人群、大促敏感人群等触达，挖掘潜在用户，挖掘站外增量流量，拉升整体投放产出。</t>
  </si>
  <si>
    <t>CPS资源向自营店铺转移主要结合TOP渠道主力资源、高质高效社群，并通过平台补贴优势进行快速、转化的有效提升，完成开门红到高潮期的类目爆品爆发；</t>
  </si>
  <si>
    <t>秒杀主要因1.0两大以及2.0三大提报秒杀搭配cps推广实现同增214%；</t>
  </si>
  <si>
    <t>去年平台拉取大额试用券投放，今年缺失平台资源扶持以及试用频道门槛提高导致同比下滑；</t>
  </si>
  <si>
    <r>
      <rPr>
        <sz val="9"/>
        <color rgb="FF000000"/>
        <rFont val="微软雅黑"/>
        <family val="2"/>
        <charset val="134"/>
      </rPr>
      <t>喷雾优惠价格前台展示，直播间专享利益点缺失，同比下滑；设置直播间399满赠送周边活动和直播间专属优券，部分喷雾设置直播专属加赠，提升直播间专属权益；</t>
    </r>
    <r>
      <rPr>
        <sz val="9"/>
        <color rgb="FFFF0000"/>
        <rFont val="微软雅黑"/>
        <family val="2"/>
        <charset val="134"/>
      </rPr>
      <t>本周直播间已完成真人直播复刻且评优，跟进后续效果</t>
    </r>
  </si>
  <si>
    <t>2026-6.1-6.22自营货品分析</t>
  </si>
  <si>
    <t>6.1-6.22达成</t>
  </si>
  <si>
    <t>7月目标</t>
  </si>
  <si>
    <t>8月目标</t>
  </si>
  <si>
    <t>9月目标</t>
  </si>
  <si>
    <t>1.0两大及三大主要依靠提报平台场域活动以及平台补贴搭配cps推广实现同比提升</t>
  </si>
  <si>
    <t>2.0两大主要借助平台百补出量以及cps推广引入62.4w+，三大受1.0推广影响导致同比下滑明显</t>
  </si>
  <si>
    <t>修护喷雾6.1-6.22完成销售18.4万，大促活动驱动下，转化率提升2pct，推广投产比提升至2.92，大促后有所回落，预计本周完成一次人群投放；</t>
  </si>
  <si>
    <t>嘭润面霜整体流失到竞品面霜小样较多，后续尝试调整推广计划由购买小样加赠回购券等形式带动提升正装销售</t>
  </si>
  <si>
    <t>80支装主要通过200-25以及黑五200-20优惠券凑单实现同比提升106.56%</t>
  </si>
  <si>
    <t>凝时次抛已超额完成本月目标，主要通过优惠券补贴等方式实现同比提升</t>
  </si>
  <si>
    <t>水粉次抛</t>
  </si>
  <si>
    <t>上架后完成销售0.63万，目前货已全部入仓，推广计划已启动，根据效果进行调整；</t>
  </si>
  <si>
    <t>跟进品牌动作，站内推广实现流量承接</t>
  </si>
  <si>
    <t>双萃水内容花费部分相较去年同期减少，主要依托站内推广与平台活动维持销售；</t>
  </si>
  <si>
    <t>6.1-6.22完成销售9.39万，6.14增加推广预算承接站外流量；大促结束后已调整推广人群预算；</t>
  </si>
  <si>
    <t>由于官宣潮热度过后，联名礼盒销售有所下滑，大促期间销售转移回爆品喷雾链接</t>
  </si>
  <si>
    <t>2026-6.1-6.21自营人群分析</t>
  </si>
  <si>
    <t>6.1-6.21达成</t>
  </si>
  <si>
    <t>秒杀及百补等场域活动协同平台消费券引流，利用黑五、PLUS会员券叠加CPS推广形成增量，带动整体新老客销售，6.11cps推广，站外引流，当天拉动新客销售100W；</t>
  </si>
  <si>
    <t>618学生力度增加，学生价sku33个叠加校园频道补贴券，1-21号校园频道补贴21-20拉新券共计引导销售29.3W，6.16-6.20校园天降红包拉动整体销售提升；</t>
  </si>
  <si>
    <t>PLUS会员95折商品池扩增至44个，618全周期提报（满200减25/满480减60）plus优惠券；6.11CPS推广叠加满减券协同发力，plus销售154W有效拉动整体销售增长；</t>
  </si>
  <si>
    <t>会员6.1-6.21</t>
  </si>
  <si>
    <t>618活动数据</t>
  </si>
  <si>
    <t xml:space="preserve">99-10优惠券，用券500+，成交销售额6.2万 </t>
  </si>
  <si>
    <t>1.开卡礼包：拉新500+
2.新会员入会抽奖：拉新80+</t>
  </si>
  <si>
    <t>新客客单价下滑，主要由于1元派样；剔除后会员客单价同增8.44%。老客销售增长明显主要由于1.0三大的推广；活动方面，会员冲刺活动调整参与门槛后，销售额同比增长209%，活动拉动效果突出。</t>
  </si>
  <si>
    <t>1.新增会员2.4万，其中开卡礼包引入会员1100+，抽奖入会引入会员1600+，抽奖入会活动效果符合预期，后续可持续实行。
2.首购有礼活动引导销售17.7万，环比上期增长41.66%。
3.会员冲刺挑战引入销售35.3万，同增209%，活动效果突出。
4.积分积分使用21.9万+，环增28.82%，积分玩法吸引力提升，用户活跃度提升。
5.品牌购物卡累计充值87万，消费8.8万，环比增长503.9%，储值客群活跃度大幅提升，有利于后期持续复购。</t>
  </si>
  <si>
    <t xml:space="preserve">300-60优惠券，用券400+，成交销售额10.7万 </t>
  </si>
  <si>
    <t>1.会员冲刺活动，累计引导成交35.3万+（618累计）
2.0.1元会员锁客，优惠券使用200+，成交销售额2.3万</t>
  </si>
  <si>
    <t>6月（6.1-6.22）</t>
  </si>
  <si>
    <t>6.1-6.22试用引导达成销售11.3万，同比下滑77.94%。同期试用频道深层小喷+面膜组合销售4035份,1.0俩大3861份，大幅度提升了销售。26年试用品提报卡控，1.0俩大已转移前台直接降价转为日销，试用销售影响下滑。</t>
  </si>
  <si>
    <t>双管洁面PP</t>
  </si>
  <si>
    <t>官媒账号</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</si>
</sst>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78" formatCode="0.00_ "/>
    <numFmt numFmtId="179" formatCode="0_ "/>
    <numFmt numFmtId="180" formatCode="0&quot;.&quot;0,&quot;万&quot;"/>
    <numFmt numFmtId="181" formatCode="0.0_ "/>
  </numFmts>
  <fonts count="16">
    <font>
      <sz val="11"/>
      <color theme="1"/>
      <name val="宋体"/>
      <charset val="134"/>
      <scheme val="minor"/>
    </font>
    <font>
      <sz val="11"/>
      <color rgb="FF000000"/>
      <name val="宋体"/>
      <family val="3"/>
      <charset val="134"/>
    </font>
    <font>
      <b/>
      <sz val="9"/>
      <color rgb="FF000000"/>
      <name val="微软雅黑"/>
      <family val="2"/>
      <charset val="134"/>
    </font>
    <font>
      <b/>
      <sz val="9"/>
      <color theme="1"/>
      <name val="微软雅黑"/>
      <family val="2"/>
      <charset val="134"/>
    </font>
    <font>
      <sz val="9"/>
      <color rgb="FF000000"/>
      <name val="微软雅黑"/>
      <family val="2"/>
      <charset val="134"/>
    </font>
    <font>
      <b/>
      <sz val="8"/>
      <color rgb="FF000000"/>
      <name val="微软雅黑"/>
      <family val="2"/>
      <charset val="134"/>
    </font>
    <font>
      <b/>
      <sz val="8"/>
      <color theme="1"/>
      <name val="微软雅黑"/>
      <family val="2"/>
      <charset val="134"/>
    </font>
    <font>
      <sz val="9"/>
      <color theme="1"/>
      <name val="微软雅黑"/>
      <family val="2"/>
      <charset val="134"/>
    </font>
    <font>
      <b/>
      <sz val="9"/>
      <color rgb="FFFF0000"/>
      <name val="微软雅黑"/>
      <family val="2"/>
      <charset val="134"/>
    </font>
    <font>
      <sz val="11"/>
      <color rgb="FFFFFFFF"/>
      <name val="JingDongLangZhengTi Semilight"/>
      <family val="1"/>
    </font>
    <font>
      <sz val="9"/>
      <color rgb="FF000000"/>
      <name val="Roboto-jmt"/>
      <family val="1"/>
    </font>
    <font>
      <sz val="9"/>
      <color theme="1"/>
      <name val="宋体"/>
      <family val="3"/>
      <charset val="134"/>
      <scheme val="minor"/>
    </font>
    <font>
      <b/>
      <sz val="9"/>
      <color rgb="FF417FF9"/>
      <name val="微软雅黑"/>
      <family val="2"/>
      <charset val="134"/>
    </font>
    <font>
      <sz val="9"/>
      <color theme="1"/>
      <name val="Roboto-jmt"/>
      <family val="1"/>
    </font>
    <font>
      <sz val="9"/>
      <color rgb="FFFF0000"/>
      <name val="微软雅黑"/>
      <family val="2"/>
      <charset val="134"/>
    </font>
    <font>
      <sz val="9"/>
      <name val="宋体"/>
      <family val="3"/>
      <charset val="134"/>
      <scheme val="minor"/>
    </font>
  </fonts>
  <fills count="11">
    <fill>
      <patternFill patternType="none"/>
    </fill>
    <fill>
      <patternFill patternType="gray125"/>
    </fill>
    <fill>
      <patternFill patternType="solid">
        <fgColor rgb="FFFFFF00"/>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rgb="FFE2F0D9"/>
        <bgColor indexed="64"/>
      </patternFill>
    </fill>
    <fill>
      <patternFill patternType="solid">
        <fgColor theme="9" tint="0.79998168889431442"/>
        <bgColor indexed="64"/>
      </patternFill>
    </fill>
    <fill>
      <patternFill patternType="solid">
        <fgColor rgb="FFFADADE"/>
        <bgColor indexed="64"/>
      </patternFill>
    </fill>
    <fill>
      <patternFill patternType="solid">
        <fgColor rgb="FFFFC000"/>
        <bgColor indexed="64"/>
      </patternFill>
    </fill>
    <fill>
      <patternFill patternType="solid">
        <fgColor rgb="FFBE1A1D"/>
        <bgColor indexed="64"/>
      </patternFill>
    </fill>
    <fill>
      <patternFill patternType="solid">
        <fgColor rgb="FFC5E0B4"/>
        <bgColor indexed="64"/>
      </patternFill>
    </fill>
  </fills>
  <borders count="37">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style="thin">
        <color rgb="FF000000"/>
      </left>
      <right style="thin">
        <color rgb="FF000000"/>
      </right>
      <top style="thin">
        <color rgb="FF000000"/>
      </top>
      <bottom style="thin">
        <color rgb="FF000000"/>
      </bottom>
      <diagonal/>
    </border>
    <border>
      <left style="thin">
        <color auto="1"/>
      </left>
      <right/>
      <top style="thin">
        <color auto="1"/>
      </top>
      <bottom style="thin">
        <color auto="1"/>
      </bottom>
      <diagonal/>
    </border>
    <border>
      <left/>
      <right/>
      <top style="thin">
        <color auto="1"/>
      </top>
      <bottom style="thin">
        <color auto="1"/>
      </bottom>
      <diagonal/>
    </border>
    <border>
      <left/>
      <right style="thin">
        <color auto="1"/>
      </right>
      <top style="thin">
        <color auto="1"/>
      </top>
      <bottom style="thin">
        <color auto="1"/>
      </bottom>
      <diagonal/>
    </border>
    <border>
      <left style="thin">
        <color rgb="FF000000"/>
      </left>
      <right/>
      <top style="thin">
        <color auto="1"/>
      </top>
      <bottom/>
      <diagonal/>
    </border>
    <border>
      <left/>
      <right/>
      <top style="thin">
        <color auto="1"/>
      </top>
      <bottom/>
      <diagonal/>
    </border>
    <border>
      <left/>
      <right style="thin">
        <color auto="1"/>
      </right>
      <top style="thin">
        <color auto="1"/>
      </top>
      <bottom/>
      <diagonal/>
    </border>
    <border>
      <left style="thin">
        <color rgb="FF000000"/>
      </left>
      <right/>
      <top/>
      <bottom style="thin">
        <color auto="1"/>
      </bottom>
      <diagonal/>
    </border>
    <border>
      <left/>
      <right/>
      <top/>
      <bottom style="thin">
        <color auto="1"/>
      </bottom>
      <diagonal/>
    </border>
    <border>
      <left/>
      <right style="thin">
        <color auto="1"/>
      </right>
      <top/>
      <bottom style="thin">
        <color auto="1"/>
      </bottom>
      <diagonal/>
    </border>
    <border>
      <left style="thin">
        <color rgb="FF000000"/>
      </left>
      <right style="thin">
        <color auto="1"/>
      </right>
      <top style="thin">
        <color auto="1"/>
      </top>
      <bottom style="thin">
        <color auto="1"/>
      </bottom>
      <diagonal/>
    </border>
    <border>
      <left style="thin">
        <color rgb="FF000000"/>
      </left>
      <right style="thin">
        <color auto="1"/>
      </right>
      <top style="thin">
        <color auto="1"/>
      </top>
      <bottom/>
      <diagonal/>
    </border>
    <border>
      <left style="thin">
        <color rgb="FF000000"/>
      </left>
      <right/>
      <top/>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style="thin">
        <color rgb="FF000000"/>
      </left>
      <right style="thin">
        <color rgb="FF000000"/>
      </right>
      <top/>
      <bottom/>
      <diagonal/>
    </border>
    <border>
      <left style="thin">
        <color rgb="FF000000"/>
      </left>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000000"/>
      </bottom>
      <diagonal/>
    </border>
    <border>
      <left/>
      <right style="thin">
        <color rgb="FF000000"/>
      </right>
      <top style="thin">
        <color rgb="FF000000"/>
      </top>
      <bottom/>
      <diagonal/>
    </border>
    <border>
      <left/>
      <right style="thin">
        <color rgb="FF000000"/>
      </right>
      <top/>
      <bottom style="thin">
        <color rgb="FF000000"/>
      </bottom>
      <diagonal/>
    </border>
    <border>
      <left/>
      <right style="thin">
        <color rgb="FF000000"/>
      </right>
      <top/>
      <bottom/>
      <diagonal/>
    </border>
    <border>
      <left/>
      <right style="thin">
        <color auto="1"/>
      </right>
      <top/>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thin">
        <color rgb="FF000000"/>
      </left>
      <right style="thin">
        <color auto="1"/>
      </right>
      <top/>
      <bottom style="thin">
        <color auto="1"/>
      </bottom>
      <diagonal/>
    </border>
    <border>
      <left style="thin">
        <color auto="1"/>
      </left>
      <right style="thin">
        <color rgb="FF000000"/>
      </right>
      <top style="thin">
        <color auto="1"/>
      </top>
      <bottom style="thin">
        <color auto="1"/>
      </bottom>
      <diagonal/>
    </border>
    <border>
      <left style="thin">
        <color auto="1"/>
      </left>
      <right style="thin">
        <color rgb="FF000000"/>
      </right>
      <top/>
      <bottom style="thin">
        <color auto="1"/>
      </bottom>
      <diagonal/>
    </border>
    <border>
      <left style="thin">
        <color auto="1"/>
      </left>
      <right style="thin">
        <color rgb="FF000000"/>
      </right>
      <top style="thin">
        <color auto="1"/>
      </top>
      <bottom/>
      <diagonal/>
    </border>
  </borders>
  <cellStyleXfs count="1">
    <xf numFmtId="0" fontId="0" fillId="0" borderId="0">
      <alignment vertical="center"/>
    </xf>
  </cellStyleXfs>
  <cellXfs count="297">
    <xf numFmtId="0" fontId="0" fillId="0" borderId="0" xfId="0">
      <alignment vertical="center"/>
    </xf>
    <xf numFmtId="0" fontId="0" fillId="0" borderId="0" xfId="0" applyAlignment="1">
      <alignment horizontal="center" vertical="center"/>
    </xf>
    <xf numFmtId="0" fontId="1" fillId="0" borderId="0" xfId="0" applyFont="1" applyAlignment="1">
      <alignment horizontal="center" vertical="center"/>
    </xf>
    <xf numFmtId="0" fontId="2" fillId="2" borderId="1" xfId="0" applyFont="1" applyFill="1" applyBorder="1">
      <alignment vertical="center"/>
    </xf>
    <xf numFmtId="0" fontId="2" fillId="2" borderId="1" xfId="0" applyFont="1" applyFill="1" applyBorder="1" applyAlignment="1">
      <alignment horizontal="center" vertical="center"/>
    </xf>
    <xf numFmtId="0" fontId="2" fillId="0" borderId="1" xfId="0" applyFont="1" applyBorder="1" applyAlignment="1">
      <alignment horizontal="center" vertical="center"/>
    </xf>
    <xf numFmtId="0" fontId="2" fillId="0" borderId="1" xfId="0" applyFont="1" applyBorder="1">
      <alignment vertical="center"/>
    </xf>
    <xf numFmtId="10" fontId="2" fillId="0" borderId="1" xfId="0" applyNumberFormat="1" applyFont="1" applyBorder="1" applyAlignment="1">
      <alignment horizontal="center" vertical="center"/>
    </xf>
    <xf numFmtId="0" fontId="3" fillId="0" borderId="1" xfId="0" applyFont="1" applyBorder="1" applyAlignment="1">
      <alignment horizontal="center" vertical="center"/>
    </xf>
    <xf numFmtId="0" fontId="3" fillId="0" borderId="1" xfId="0" applyFont="1" applyBorder="1">
      <alignment vertical="center"/>
    </xf>
    <xf numFmtId="0" fontId="3" fillId="0" borderId="2" xfId="0" applyFont="1" applyBorder="1">
      <alignment vertical="center"/>
    </xf>
    <xf numFmtId="0" fontId="3" fillId="0" borderId="3" xfId="0" applyFont="1" applyBorder="1">
      <alignment vertical="center"/>
    </xf>
    <xf numFmtId="178" fontId="2" fillId="0" borderId="1" xfId="0" applyNumberFormat="1" applyFont="1" applyBorder="1" applyAlignment="1">
      <alignment horizontal="center" vertical="center"/>
    </xf>
    <xf numFmtId="10" fontId="2" fillId="0" borderId="2" xfId="0" applyNumberFormat="1" applyFont="1" applyBorder="1" applyAlignment="1">
      <alignment horizontal="center" vertical="center"/>
    </xf>
    <xf numFmtId="178" fontId="3" fillId="0" borderId="2" xfId="0" applyNumberFormat="1" applyFont="1" applyBorder="1" applyAlignment="1">
      <alignment horizontal="center" vertical="center"/>
    </xf>
    <xf numFmtId="10" fontId="2" fillId="0" borderId="4" xfId="0" applyNumberFormat="1" applyFont="1" applyBorder="1" applyAlignment="1">
      <alignment horizontal="center" vertical="center"/>
    </xf>
    <xf numFmtId="58" fontId="3" fillId="0" borderId="1" xfId="0" applyNumberFormat="1" applyFont="1" applyBorder="1" applyAlignment="1">
      <alignment horizontal="center" vertical="center"/>
    </xf>
    <xf numFmtId="179" fontId="2" fillId="0" borderId="1" xfId="0" applyNumberFormat="1" applyFont="1" applyBorder="1" applyAlignment="1">
      <alignment horizontal="center" vertical="center"/>
    </xf>
    <xf numFmtId="179" fontId="3" fillId="0" borderId="2" xfId="0" applyNumberFormat="1" applyFont="1" applyBorder="1" applyAlignment="1">
      <alignment horizontal="center" vertical="center"/>
    </xf>
    <xf numFmtId="0" fontId="3" fillId="0" borderId="4" xfId="0" applyFont="1" applyBorder="1" applyAlignment="1">
      <alignment horizontal="center" vertical="center"/>
    </xf>
    <xf numFmtId="179" fontId="2" fillId="0" borderId="3" xfId="0" applyNumberFormat="1" applyFont="1" applyBorder="1" applyAlignment="1">
      <alignment horizontal="center" vertical="center"/>
    </xf>
    <xf numFmtId="179" fontId="3" fillId="0" borderId="3" xfId="0" applyNumberFormat="1" applyFont="1" applyBorder="1" applyAlignment="1">
      <alignment horizontal="center" vertical="center"/>
    </xf>
    <xf numFmtId="0" fontId="4" fillId="0" borderId="0" xfId="0" applyFont="1">
      <alignment vertical="center"/>
    </xf>
    <xf numFmtId="0" fontId="2" fillId="3" borderId="2" xfId="0" applyFont="1" applyFill="1" applyBorder="1" applyAlignment="1">
      <alignment horizontal="center" vertical="center"/>
    </xf>
    <xf numFmtId="0" fontId="2" fillId="3" borderId="1" xfId="0" applyFont="1" applyFill="1" applyBorder="1" applyAlignment="1">
      <alignment horizontal="center" vertical="center"/>
    </xf>
    <xf numFmtId="0" fontId="4" fillId="0" borderId="3" xfId="0" applyFont="1" applyBorder="1" applyAlignment="1">
      <alignment horizontal="center" vertical="center"/>
    </xf>
    <xf numFmtId="180" fontId="7" fillId="0" borderId="3" xfId="0" applyNumberFormat="1" applyFont="1" applyBorder="1" applyAlignment="1">
      <alignment horizontal="center" vertical="center"/>
    </xf>
    <xf numFmtId="10" fontId="4" fillId="0" borderId="3" xfId="0" applyNumberFormat="1" applyFont="1" applyBorder="1" applyAlignment="1">
      <alignment horizontal="center" vertical="center"/>
    </xf>
    <xf numFmtId="10" fontId="7" fillId="0" borderId="3" xfId="0" applyNumberFormat="1" applyFont="1" applyBorder="1" applyAlignment="1">
      <alignment horizontal="center" vertical="center"/>
    </xf>
    <xf numFmtId="180" fontId="4" fillId="0" borderId="3" xfId="0" applyNumberFormat="1" applyFont="1" applyBorder="1" applyAlignment="1">
      <alignment horizontal="center" vertical="center"/>
    </xf>
    <xf numFmtId="180" fontId="7" fillId="0" borderId="0" xfId="0" applyNumberFormat="1" applyFont="1" applyAlignment="1">
      <alignment horizontal="center" vertical="center"/>
    </xf>
    <xf numFmtId="10" fontId="4" fillId="0" borderId="0" xfId="0" applyNumberFormat="1" applyFont="1" applyAlignment="1">
      <alignment horizontal="center" vertical="center"/>
    </xf>
    <xf numFmtId="0" fontId="2" fillId="4" borderId="3" xfId="0" applyFont="1" applyFill="1" applyBorder="1" applyAlignment="1">
      <alignment horizontal="center" vertical="center"/>
    </xf>
    <xf numFmtId="0" fontId="7" fillId="0" borderId="16" xfId="0" applyFont="1" applyBorder="1" applyAlignment="1">
      <alignment horizontal="center" vertical="center"/>
    </xf>
    <xf numFmtId="0" fontId="8" fillId="0" borderId="3" xfId="0" applyFont="1" applyBorder="1">
      <alignment vertical="center"/>
    </xf>
    <xf numFmtId="180" fontId="2" fillId="0" borderId="3" xfId="0" applyNumberFormat="1" applyFont="1" applyBorder="1" applyAlignment="1">
      <alignment horizontal="center" vertical="center" wrapText="1"/>
    </xf>
    <xf numFmtId="180" fontId="8" fillId="0" borderId="3" xfId="0" applyNumberFormat="1" applyFont="1" applyBorder="1" applyAlignment="1">
      <alignment horizontal="center" vertical="center"/>
    </xf>
    <xf numFmtId="10" fontId="8" fillId="0" borderId="3" xfId="0" applyNumberFormat="1" applyFont="1" applyBorder="1" applyAlignment="1">
      <alignment horizontal="center" vertical="center"/>
    </xf>
    <xf numFmtId="10" fontId="2" fillId="0" borderId="3" xfId="0" applyNumberFormat="1" applyFont="1" applyBorder="1" applyAlignment="1">
      <alignment horizontal="center" vertical="center"/>
    </xf>
    <xf numFmtId="180" fontId="8" fillId="0" borderId="3" xfId="0" applyNumberFormat="1" applyFont="1" applyBorder="1" applyAlignment="1">
      <alignment horizontal="center" vertical="center" wrapText="1"/>
    </xf>
    <xf numFmtId="0" fontId="7" fillId="5" borderId="3" xfId="0" applyFont="1" applyFill="1" applyBorder="1" applyAlignment="1">
      <alignment horizontal="center" vertical="center"/>
    </xf>
    <xf numFmtId="0" fontId="4" fillId="5" borderId="3" xfId="0" applyFont="1" applyFill="1" applyBorder="1">
      <alignment vertical="center"/>
    </xf>
    <xf numFmtId="0" fontId="7" fillId="0" borderId="3" xfId="0" applyFont="1" applyBorder="1" applyAlignment="1">
      <alignment horizontal="center" vertical="center"/>
    </xf>
    <xf numFmtId="0" fontId="4" fillId="0" borderId="3" xfId="0" applyFont="1" applyBorder="1">
      <alignment vertical="center"/>
    </xf>
    <xf numFmtId="0" fontId="4" fillId="0" borderId="0" xfId="0" applyFont="1" applyAlignment="1">
      <alignment horizontal="left" vertical="center" wrapText="1"/>
    </xf>
    <xf numFmtId="0" fontId="4" fillId="0" borderId="16" xfId="0" applyFont="1" applyBorder="1" applyAlignment="1">
      <alignment horizontal="center" vertical="center"/>
    </xf>
    <xf numFmtId="179" fontId="7" fillId="5" borderId="3" xfId="0" applyNumberFormat="1" applyFont="1" applyFill="1" applyBorder="1" applyAlignment="1">
      <alignment horizontal="center" vertical="center"/>
    </xf>
    <xf numFmtId="0" fontId="4" fillId="0" borderId="19" xfId="0" applyFont="1" applyBorder="1" applyAlignment="1">
      <alignment horizontal="center" vertical="center"/>
    </xf>
    <xf numFmtId="179" fontId="7" fillId="0" borderId="3" xfId="0" applyNumberFormat="1" applyFont="1" applyBorder="1" applyAlignment="1">
      <alignment horizontal="center" vertical="center"/>
    </xf>
    <xf numFmtId="0" fontId="7" fillId="0" borderId="3" xfId="0" applyFont="1" applyBorder="1">
      <alignment vertical="center"/>
    </xf>
    <xf numFmtId="0" fontId="4" fillId="0" borderId="3" xfId="0" applyFont="1" applyBorder="1" applyAlignment="1">
      <alignment horizontal="left" vertical="center"/>
    </xf>
    <xf numFmtId="0" fontId="4" fillId="0" borderId="24" xfId="0" applyFont="1" applyBorder="1" applyAlignment="1">
      <alignment horizontal="center" vertical="center"/>
    </xf>
    <xf numFmtId="0" fontId="7" fillId="0" borderId="0" xfId="0" applyFont="1" applyAlignment="1">
      <alignment horizontal="center" vertical="center"/>
    </xf>
    <xf numFmtId="0" fontId="7" fillId="0" borderId="0" xfId="0" applyFont="1">
      <alignment vertical="center"/>
    </xf>
    <xf numFmtId="0" fontId="2" fillId="6" borderId="3" xfId="0" applyFont="1" applyFill="1" applyBorder="1" applyAlignment="1">
      <alignment horizontal="center" vertical="center"/>
    </xf>
    <xf numFmtId="0" fontId="2" fillId="7" borderId="3" xfId="0" applyFont="1" applyFill="1" applyBorder="1" applyAlignment="1">
      <alignment horizontal="center" vertical="center"/>
    </xf>
    <xf numFmtId="180" fontId="4" fillId="0" borderId="22" xfId="0" applyNumberFormat="1" applyFont="1" applyBorder="1" applyAlignment="1">
      <alignment horizontal="center" vertical="center"/>
    </xf>
    <xf numFmtId="180" fontId="7" fillId="5" borderId="3" xfId="0" applyNumberFormat="1" applyFont="1" applyFill="1" applyBorder="1" applyAlignment="1">
      <alignment horizontal="center" vertical="center"/>
    </xf>
    <xf numFmtId="0" fontId="4" fillId="5" borderId="3" xfId="0" applyFont="1" applyFill="1" applyBorder="1" applyAlignment="1">
      <alignment horizontal="center" vertical="center"/>
    </xf>
    <xf numFmtId="0" fontId="2" fillId="0" borderId="0" xfId="0" applyFont="1" applyAlignment="1">
      <alignment horizontal="center" vertical="center"/>
    </xf>
    <xf numFmtId="2" fontId="7" fillId="0" borderId="3" xfId="0" applyNumberFormat="1" applyFont="1" applyBorder="1" applyAlignment="1">
      <alignment horizontal="center" vertical="center"/>
    </xf>
    <xf numFmtId="178" fontId="4" fillId="0" borderId="3" xfId="0" applyNumberFormat="1" applyFont="1" applyBorder="1" applyAlignment="1">
      <alignment horizontal="center" vertical="center" wrapText="1"/>
    </xf>
    <xf numFmtId="0" fontId="4" fillId="8" borderId="3" xfId="0" applyFont="1" applyFill="1" applyBorder="1" applyAlignment="1">
      <alignment horizontal="center" vertical="center"/>
    </xf>
    <xf numFmtId="0" fontId="9" fillId="9" borderId="3" xfId="0" applyFont="1" applyFill="1" applyBorder="1" applyAlignment="1">
      <alignment horizontal="center" vertical="center"/>
    </xf>
    <xf numFmtId="180" fontId="4" fillId="0" borderId="3" xfId="0" applyNumberFormat="1" applyFont="1" applyBorder="1" applyAlignment="1">
      <alignment horizontal="center" vertical="center" wrapText="1"/>
    </xf>
    <xf numFmtId="49" fontId="4" fillId="0" borderId="3" xfId="0" applyNumberFormat="1" applyFont="1" applyBorder="1" applyAlignment="1">
      <alignment horizontal="center" vertical="center"/>
    </xf>
    <xf numFmtId="0" fontId="4" fillId="0" borderId="16" xfId="0" applyFont="1" applyBorder="1" applyAlignment="1">
      <alignment horizontal="left" vertical="center"/>
    </xf>
    <xf numFmtId="0" fontId="2" fillId="0" borderId="3" xfId="0" applyFont="1" applyBorder="1" applyAlignment="1">
      <alignment horizontal="center" vertical="center"/>
    </xf>
    <xf numFmtId="0" fontId="4" fillId="5" borderId="24" xfId="0" applyFont="1" applyFill="1" applyBorder="1" applyAlignment="1">
      <alignment horizontal="center" vertical="center"/>
    </xf>
    <xf numFmtId="0" fontId="4" fillId="5" borderId="19" xfId="0" applyFont="1" applyFill="1" applyBorder="1" applyAlignment="1">
      <alignment horizontal="center" vertical="center"/>
    </xf>
    <xf numFmtId="58" fontId="7" fillId="0" borderId="3" xfId="0" applyNumberFormat="1" applyFont="1" applyBorder="1" applyAlignment="1">
      <alignment horizontal="center" vertical="center"/>
    </xf>
    <xf numFmtId="58" fontId="7" fillId="0" borderId="16" xfId="0" applyNumberFormat="1" applyFont="1" applyBorder="1" applyAlignment="1">
      <alignment horizontal="center" vertical="center"/>
    </xf>
    <xf numFmtId="3" fontId="7" fillId="0" borderId="3" xfId="0" applyNumberFormat="1" applyFont="1" applyBorder="1" applyAlignment="1">
      <alignment horizontal="center" vertical="center"/>
    </xf>
    <xf numFmtId="4" fontId="7" fillId="0" borderId="3" xfId="0" applyNumberFormat="1" applyFont="1" applyBorder="1" applyAlignment="1">
      <alignment horizontal="center" vertical="center"/>
    </xf>
    <xf numFmtId="0" fontId="11" fillId="0" borderId="0" xfId="0" applyFont="1">
      <alignment vertical="center"/>
    </xf>
    <xf numFmtId="179" fontId="12" fillId="0" borderId="1" xfId="0" applyNumberFormat="1" applyFont="1" applyBorder="1" applyAlignment="1">
      <alignment horizontal="center" vertical="center"/>
    </xf>
    <xf numFmtId="180" fontId="8" fillId="5" borderId="3" xfId="0" applyNumberFormat="1" applyFont="1" applyFill="1" applyBorder="1" applyAlignment="1">
      <alignment horizontal="center" vertical="center"/>
    </xf>
    <xf numFmtId="180" fontId="4" fillId="5" borderId="3" xfId="0" applyNumberFormat="1" applyFont="1" applyFill="1" applyBorder="1" applyAlignment="1">
      <alignment horizontal="center" vertical="center"/>
    </xf>
    <xf numFmtId="10" fontId="8" fillId="5" borderId="3" xfId="0" applyNumberFormat="1" applyFont="1" applyFill="1" applyBorder="1" applyAlignment="1">
      <alignment horizontal="center" vertical="center"/>
    </xf>
    <xf numFmtId="0" fontId="4" fillId="0" borderId="3" xfId="0" applyFont="1" applyBorder="1" applyAlignment="1">
      <alignment horizontal="center" vertical="center" wrapText="1"/>
    </xf>
    <xf numFmtId="0" fontId="7" fillId="0" borderId="3" xfId="0" applyFont="1" applyBorder="1" applyAlignment="1">
      <alignment horizontal="center" vertical="center" wrapText="1"/>
    </xf>
    <xf numFmtId="0" fontId="2" fillId="0" borderId="0" xfId="0" applyFont="1" applyAlignment="1">
      <alignment horizontal="center" vertical="center" wrapText="1"/>
    </xf>
    <xf numFmtId="0" fontId="4" fillId="0" borderId="0" xfId="0" applyFont="1" applyAlignment="1">
      <alignment horizontal="center" vertical="center" wrapText="1"/>
    </xf>
    <xf numFmtId="178" fontId="2" fillId="0" borderId="3" xfId="0" applyNumberFormat="1" applyFont="1" applyBorder="1" applyAlignment="1">
      <alignment horizontal="center" vertical="center"/>
    </xf>
    <xf numFmtId="178" fontId="3" fillId="0" borderId="3" xfId="0" applyNumberFormat="1" applyFont="1" applyBorder="1" applyAlignment="1">
      <alignment horizontal="center" vertical="center"/>
    </xf>
    <xf numFmtId="10" fontId="2" fillId="0" borderId="5" xfId="0" applyNumberFormat="1" applyFont="1" applyBorder="1" applyAlignment="1">
      <alignment horizontal="center" vertical="center"/>
    </xf>
    <xf numFmtId="0" fontId="2" fillId="4" borderId="24" xfId="0" applyFont="1" applyFill="1" applyBorder="1" applyAlignment="1">
      <alignment horizontal="center" vertical="center"/>
    </xf>
    <xf numFmtId="180" fontId="7" fillId="0" borderId="3" xfId="0" applyNumberFormat="1" applyFont="1" applyBorder="1" applyAlignment="1">
      <alignment horizontal="center" vertical="center" wrapText="1"/>
    </xf>
    <xf numFmtId="180" fontId="4" fillId="0" borderId="26" xfId="0" applyNumberFormat="1" applyFont="1" applyBorder="1" applyAlignment="1">
      <alignment horizontal="center" vertical="center" wrapText="1"/>
    </xf>
    <xf numFmtId="180" fontId="4" fillId="0" borderId="27" xfId="0" applyNumberFormat="1" applyFont="1" applyBorder="1" applyAlignment="1">
      <alignment horizontal="center" vertical="center" wrapText="1"/>
    </xf>
    <xf numFmtId="180" fontId="4" fillId="0" borderId="0" xfId="0" applyNumberFormat="1" applyFont="1" applyAlignment="1">
      <alignment horizontal="center" vertical="center"/>
    </xf>
    <xf numFmtId="0" fontId="4" fillId="7" borderId="3" xfId="0" applyFont="1" applyFill="1" applyBorder="1" applyAlignment="1">
      <alignment horizontal="center" vertical="center"/>
    </xf>
    <xf numFmtId="10" fontId="4" fillId="0" borderId="3" xfId="0" applyNumberFormat="1" applyFont="1" applyBorder="1" applyAlignment="1">
      <alignment horizontal="center" vertical="center" wrapText="1"/>
    </xf>
    <xf numFmtId="0" fontId="14" fillId="0" borderId="3" xfId="0" applyFont="1" applyBorder="1">
      <alignment vertical="center"/>
    </xf>
    <xf numFmtId="0" fontId="4" fillId="0" borderId="0" xfId="0" applyFont="1" applyAlignment="1">
      <alignment horizontal="center" vertical="center"/>
    </xf>
    <xf numFmtId="180" fontId="4" fillId="5" borderId="3" xfId="0" applyNumberFormat="1" applyFont="1" applyFill="1" applyBorder="1" applyAlignment="1">
      <alignment horizontal="center" vertical="center" wrapText="1"/>
    </xf>
    <xf numFmtId="10" fontId="2" fillId="5" borderId="3" xfId="0" applyNumberFormat="1" applyFont="1" applyFill="1" applyBorder="1" applyAlignment="1">
      <alignment horizontal="center" vertical="center"/>
    </xf>
    <xf numFmtId="180" fontId="7" fillId="5" borderId="3" xfId="0" applyNumberFormat="1" applyFont="1" applyFill="1" applyBorder="1" applyAlignment="1">
      <alignment horizontal="center" vertical="center" wrapText="1"/>
    </xf>
    <xf numFmtId="0" fontId="2" fillId="7" borderId="3" xfId="0" applyFont="1" applyFill="1" applyBorder="1" applyAlignment="1">
      <alignment horizontal="center" vertical="center" wrapText="1"/>
    </xf>
    <xf numFmtId="180" fontId="8" fillId="10" borderId="3" xfId="0" applyNumberFormat="1" applyFont="1" applyFill="1" applyBorder="1" applyAlignment="1">
      <alignment horizontal="center" vertical="center"/>
    </xf>
    <xf numFmtId="180" fontId="7" fillId="10" borderId="3" xfId="0" applyNumberFormat="1" applyFont="1" applyFill="1" applyBorder="1" applyAlignment="1">
      <alignment horizontal="center" vertical="center"/>
    </xf>
    <xf numFmtId="0" fontId="2" fillId="7" borderId="24" xfId="0" applyFont="1" applyFill="1" applyBorder="1" applyAlignment="1">
      <alignment horizontal="center" vertical="center"/>
    </xf>
    <xf numFmtId="0" fontId="7" fillId="0" borderId="22" xfId="0" applyFont="1" applyBorder="1" applyAlignment="1">
      <alignment horizontal="center" vertical="center"/>
    </xf>
    <xf numFmtId="10" fontId="7" fillId="0" borderId="22" xfId="0" applyNumberFormat="1" applyFont="1" applyBorder="1" applyAlignment="1">
      <alignment horizontal="center" vertical="center"/>
    </xf>
    <xf numFmtId="178" fontId="3" fillId="0" borderId="1" xfId="0" applyNumberFormat="1" applyFont="1" applyBorder="1" applyAlignment="1">
      <alignment horizontal="center" vertical="center"/>
    </xf>
    <xf numFmtId="0" fontId="3" fillId="0" borderId="0" xfId="0" applyFont="1">
      <alignment vertical="center"/>
    </xf>
    <xf numFmtId="181" fontId="7" fillId="0" borderId="0" xfId="0" applyNumberFormat="1" applyFont="1" applyAlignment="1">
      <alignment horizontal="center" vertical="center"/>
    </xf>
    <xf numFmtId="180" fontId="7" fillId="0" borderId="33" xfId="0" applyNumberFormat="1" applyFont="1" applyBorder="1" applyAlignment="1">
      <alignment horizontal="center" vertical="center"/>
    </xf>
    <xf numFmtId="10" fontId="4" fillId="0" borderId="24" xfId="0" applyNumberFormat="1" applyFont="1" applyBorder="1" applyAlignment="1">
      <alignment horizontal="center" vertical="center"/>
    </xf>
    <xf numFmtId="180" fontId="7" fillId="0" borderId="13" xfId="0" applyNumberFormat="1" applyFont="1" applyBorder="1" applyAlignment="1">
      <alignment horizontal="center" vertical="center"/>
    </xf>
    <xf numFmtId="10" fontId="7" fillId="0" borderId="0" xfId="0" applyNumberFormat="1" applyFont="1">
      <alignment vertical="center"/>
    </xf>
    <xf numFmtId="180" fontId="7" fillId="0" borderId="34" xfId="0" applyNumberFormat="1" applyFont="1" applyBorder="1" applyAlignment="1">
      <alignment horizontal="center" vertical="center"/>
    </xf>
    <xf numFmtId="180" fontId="4" fillId="0" borderId="34" xfId="0" applyNumberFormat="1" applyFont="1" applyBorder="1" applyAlignment="1">
      <alignment horizontal="center" vertical="center"/>
    </xf>
    <xf numFmtId="180" fontId="7" fillId="0" borderId="35" xfId="0" applyNumberFormat="1" applyFont="1" applyBorder="1" applyAlignment="1">
      <alignment horizontal="center" vertical="center"/>
    </xf>
    <xf numFmtId="180" fontId="7" fillId="0" borderId="14" xfId="0" applyNumberFormat="1" applyFont="1" applyBorder="1" applyAlignment="1">
      <alignment horizontal="center" vertical="center"/>
    </xf>
    <xf numFmtId="180" fontId="7" fillId="0" borderId="36" xfId="0" applyNumberFormat="1" applyFont="1" applyBorder="1" applyAlignment="1">
      <alignment horizontal="center" vertical="center"/>
    </xf>
    <xf numFmtId="180" fontId="7" fillId="0" borderId="24" xfId="0" applyNumberFormat="1" applyFont="1" applyBorder="1" applyAlignment="1">
      <alignment horizontal="center" vertical="center"/>
    </xf>
    <xf numFmtId="0" fontId="7" fillId="0" borderId="0" xfId="0" applyFont="1" applyAlignment="1">
      <alignment horizontal="left" vertical="center"/>
    </xf>
    <xf numFmtId="0" fontId="3" fillId="0" borderId="0" xfId="0" applyFont="1" applyAlignment="1">
      <alignment horizontal="center" vertical="center"/>
    </xf>
    <xf numFmtId="180" fontId="4" fillId="0" borderId="35" xfId="0" applyNumberFormat="1" applyFont="1" applyBorder="1" applyAlignment="1">
      <alignment horizontal="center" vertical="center"/>
    </xf>
    <xf numFmtId="0" fontId="2" fillId="6" borderId="2" xfId="0" applyFont="1" applyFill="1" applyBorder="1" applyAlignment="1">
      <alignment horizontal="center" vertical="center"/>
    </xf>
    <xf numFmtId="3" fontId="7" fillId="0" borderId="0" xfId="0" applyNumberFormat="1" applyFont="1" applyAlignment="1">
      <alignment horizontal="center" vertical="center"/>
    </xf>
    <xf numFmtId="0" fontId="4" fillId="0" borderId="0" xfId="0" applyFont="1" applyAlignment="1">
      <alignment vertical="center" wrapText="1"/>
    </xf>
    <xf numFmtId="4" fontId="7" fillId="0" borderId="0" xfId="0" applyNumberFormat="1" applyFont="1">
      <alignment vertical="center"/>
    </xf>
    <xf numFmtId="10" fontId="7" fillId="0" borderId="0" xfId="0" applyNumberFormat="1" applyFont="1" applyAlignment="1">
      <alignment horizontal="center" vertical="center"/>
    </xf>
    <xf numFmtId="10" fontId="4" fillId="0" borderId="16" xfId="0" applyNumberFormat="1" applyFont="1" applyBorder="1" applyAlignment="1">
      <alignment horizontal="center" vertical="center"/>
    </xf>
    <xf numFmtId="179" fontId="7" fillId="0" borderId="3" xfId="0" applyNumberFormat="1" applyFont="1" applyBorder="1">
      <alignment vertical="center"/>
    </xf>
    <xf numFmtId="0" fontId="7" fillId="0" borderId="3" xfId="0" quotePrefix="1" applyFont="1" applyBorder="1">
      <alignment vertical="center"/>
    </xf>
    <xf numFmtId="0" fontId="8" fillId="0" borderId="3" xfId="0" quotePrefix="1" applyFont="1" applyBorder="1" applyAlignment="1">
      <alignment horizontal="center" vertical="center"/>
    </xf>
    <xf numFmtId="0" fontId="7" fillId="0" borderId="3" xfId="0" quotePrefix="1" applyFont="1" applyBorder="1" applyAlignment="1">
      <alignment horizontal="center" vertical="center"/>
    </xf>
    <xf numFmtId="0" fontId="4" fillId="0" borderId="3" xfId="0" quotePrefix="1" applyFont="1" applyBorder="1" applyAlignment="1">
      <alignment horizontal="center" vertical="center"/>
    </xf>
    <xf numFmtId="0" fontId="7" fillId="5" borderId="3" xfId="0" quotePrefix="1" applyFont="1" applyFill="1" applyBorder="1" applyAlignment="1">
      <alignment horizontal="center" vertical="center"/>
    </xf>
    <xf numFmtId="0" fontId="13" fillId="0" borderId="0" xfId="0" quotePrefix="1" applyFont="1">
      <alignment vertical="center"/>
    </xf>
    <xf numFmtId="0" fontId="10" fillId="0" borderId="3" xfId="0" quotePrefix="1" applyFont="1" applyBorder="1">
      <alignment vertical="center"/>
    </xf>
    <xf numFmtId="0" fontId="4" fillId="0" borderId="16" xfId="0" quotePrefix="1" applyFont="1" applyBorder="1" applyAlignment="1">
      <alignment horizontal="center" vertical="center"/>
    </xf>
    <xf numFmtId="0" fontId="10" fillId="0" borderId="0" xfId="0" quotePrefix="1" applyFont="1">
      <alignment vertical="center"/>
    </xf>
    <xf numFmtId="0" fontId="2" fillId="2" borderId="4" xfId="0" applyFont="1" applyFill="1" applyBorder="1" applyAlignment="1">
      <alignment horizontal="left" vertical="center" wrapText="1"/>
    </xf>
    <xf numFmtId="0" fontId="2" fillId="2" borderId="5" xfId="0" applyFont="1" applyFill="1" applyBorder="1" applyAlignment="1">
      <alignment horizontal="left" vertical="center" wrapText="1"/>
    </xf>
    <xf numFmtId="0" fontId="2" fillId="2" borderId="5" xfId="0" applyFont="1" applyFill="1" applyBorder="1" applyAlignment="1">
      <alignment horizontal="center" vertical="center" wrapText="1"/>
    </xf>
    <xf numFmtId="0" fontId="2" fillId="2" borderId="6" xfId="0" applyFont="1" applyFill="1" applyBorder="1" applyAlignment="1">
      <alignment horizontal="left" vertical="center" wrapText="1"/>
    </xf>
    <xf numFmtId="0" fontId="3" fillId="2" borderId="1" xfId="0" applyFont="1" applyFill="1" applyBorder="1" applyAlignment="1">
      <alignment horizontal="center" vertical="center"/>
    </xf>
    <xf numFmtId="0" fontId="2" fillId="3" borderId="4" xfId="0" applyFont="1" applyFill="1" applyBorder="1" applyAlignment="1">
      <alignment horizontal="left" vertical="center" wrapText="1"/>
    </xf>
    <xf numFmtId="0" fontId="2" fillId="3" borderId="5" xfId="0" applyFont="1" applyFill="1" applyBorder="1" applyAlignment="1">
      <alignment horizontal="left" vertical="center" wrapText="1"/>
    </xf>
    <xf numFmtId="0" fontId="2" fillId="3" borderId="5" xfId="0" applyFont="1" applyFill="1" applyBorder="1" applyAlignment="1">
      <alignment horizontal="center" vertical="center" wrapText="1"/>
    </xf>
    <xf numFmtId="0" fontId="2" fillId="3" borderId="6" xfId="0" applyFont="1" applyFill="1" applyBorder="1" applyAlignment="1">
      <alignment horizontal="left" vertical="center" wrapText="1"/>
    </xf>
    <xf numFmtId="0" fontId="2" fillId="3" borderId="1" xfId="0" applyFont="1" applyFill="1" applyBorder="1" applyAlignment="1">
      <alignment horizontal="center" vertical="center"/>
    </xf>
    <xf numFmtId="0" fontId="4" fillId="0" borderId="13" xfId="0" applyFont="1" applyBorder="1" applyAlignment="1">
      <alignment horizontal="left" vertical="center" wrapText="1"/>
    </xf>
    <xf numFmtId="0" fontId="7" fillId="0" borderId="1" xfId="0" applyFont="1" applyBorder="1" applyAlignment="1">
      <alignment horizontal="left" vertical="center" wrapText="1"/>
    </xf>
    <xf numFmtId="0" fontId="4" fillId="0" borderId="14" xfId="0" applyFont="1" applyBorder="1" applyAlignment="1">
      <alignment horizontal="left" vertical="center" wrapText="1"/>
    </xf>
    <xf numFmtId="0" fontId="7" fillId="0" borderId="2" xfId="0" applyFont="1" applyBorder="1" applyAlignment="1">
      <alignment horizontal="left" vertical="center" wrapText="1"/>
    </xf>
    <xf numFmtId="0" fontId="4" fillId="0" borderId="3" xfId="0" applyFont="1" applyBorder="1" applyAlignment="1">
      <alignment horizontal="left" vertical="center" wrapText="1"/>
    </xf>
    <xf numFmtId="0" fontId="7" fillId="0" borderId="14" xfId="0" applyFont="1" applyBorder="1" applyAlignment="1">
      <alignment horizontal="left" vertical="center" wrapText="1"/>
    </xf>
    <xf numFmtId="0" fontId="2" fillId="4" borderId="3" xfId="0" applyFont="1" applyFill="1" applyBorder="1" applyAlignment="1">
      <alignment horizontal="left" vertical="center" wrapText="1"/>
    </xf>
    <xf numFmtId="0" fontId="2" fillId="4" borderId="3" xfId="0" applyFont="1" applyFill="1" applyBorder="1" applyAlignment="1">
      <alignment horizontal="center" vertical="center"/>
    </xf>
    <xf numFmtId="0" fontId="2" fillId="6" borderId="4" xfId="0" applyFont="1" applyFill="1" applyBorder="1" applyAlignment="1">
      <alignment horizontal="left" vertical="center" wrapText="1"/>
    </xf>
    <xf numFmtId="0" fontId="2" fillId="6" borderId="5" xfId="0" applyFont="1" applyFill="1" applyBorder="1" applyAlignment="1">
      <alignment horizontal="left" vertical="center" wrapText="1"/>
    </xf>
    <xf numFmtId="0" fontId="2" fillId="6" borderId="5" xfId="0" applyFont="1" applyFill="1" applyBorder="1" applyAlignment="1">
      <alignment horizontal="center" vertical="center" wrapText="1"/>
    </xf>
    <xf numFmtId="0" fontId="2" fillId="6" borderId="6" xfId="0" applyFont="1" applyFill="1" applyBorder="1" applyAlignment="1">
      <alignment horizontal="left" vertical="center" wrapText="1"/>
    </xf>
    <xf numFmtId="0" fontId="2" fillId="6" borderId="30" xfId="0" applyFont="1" applyFill="1" applyBorder="1" applyAlignment="1">
      <alignment horizontal="center" vertical="center"/>
    </xf>
    <xf numFmtId="0" fontId="2" fillId="6" borderId="9" xfId="0" applyFont="1" applyFill="1" applyBorder="1" applyAlignment="1">
      <alignment horizontal="center" vertical="center"/>
    </xf>
    <xf numFmtId="0" fontId="2" fillId="6" borderId="2" xfId="0" applyFont="1" applyFill="1" applyBorder="1" applyAlignment="1">
      <alignment horizontal="center" vertical="center"/>
    </xf>
    <xf numFmtId="0" fontId="7" fillId="0" borderId="3" xfId="0" applyFont="1" applyBorder="1" applyAlignment="1">
      <alignment horizontal="left" vertical="center" wrapText="1"/>
    </xf>
    <xf numFmtId="0" fontId="4" fillId="7" borderId="3" xfId="0" applyFont="1" applyFill="1" applyBorder="1" applyAlignment="1">
      <alignment horizontal="center" vertical="center"/>
    </xf>
    <xf numFmtId="0" fontId="4" fillId="7" borderId="3" xfId="0" applyFont="1" applyFill="1" applyBorder="1" applyAlignment="1">
      <alignment horizontal="center" vertical="center" wrapText="1"/>
    </xf>
    <xf numFmtId="0" fontId="4" fillId="0" borderId="3" xfId="0" applyFont="1" applyBorder="1" applyAlignment="1">
      <alignment horizontal="center" vertical="center"/>
    </xf>
    <xf numFmtId="0" fontId="7" fillId="0" borderId="3" xfId="0" applyFont="1" applyBorder="1" applyAlignment="1">
      <alignment horizontal="center" vertical="center"/>
    </xf>
    <xf numFmtId="0" fontId="4" fillId="0" borderId="24" xfId="0" applyFont="1" applyBorder="1" applyAlignment="1">
      <alignment horizontal="center" vertical="center"/>
    </xf>
    <xf numFmtId="0" fontId="4" fillId="0" borderId="16" xfId="0" applyFont="1" applyBorder="1" applyAlignment="1">
      <alignment horizontal="center" vertical="center"/>
    </xf>
    <xf numFmtId="0" fontId="7" fillId="0" borderId="24" xfId="0" applyFont="1" applyBorder="1" applyAlignment="1">
      <alignment horizontal="center" vertical="center"/>
    </xf>
    <xf numFmtId="0" fontId="4" fillId="0" borderId="19" xfId="0" applyFont="1" applyBorder="1" applyAlignment="1">
      <alignment horizontal="center" vertical="center"/>
    </xf>
    <xf numFmtId="0" fontId="4" fillId="0" borderId="16" xfId="0" applyFont="1" applyBorder="1" applyAlignment="1">
      <alignment horizontal="center" vertical="center" wrapText="1"/>
    </xf>
    <xf numFmtId="0" fontId="4" fillId="0" borderId="24" xfId="0" applyFont="1" applyBorder="1" applyAlignment="1">
      <alignment horizontal="center" vertical="center" wrapText="1"/>
    </xf>
    <xf numFmtId="0" fontId="4" fillId="0" borderId="30" xfId="0" applyFont="1" applyBorder="1" applyAlignment="1">
      <alignment horizontal="left" vertical="center" wrapText="1"/>
    </xf>
    <xf numFmtId="0" fontId="4" fillId="0" borderId="8" xfId="0" applyFont="1" applyBorder="1" applyAlignment="1">
      <alignment horizontal="left" vertical="center" wrapText="1"/>
    </xf>
    <xf numFmtId="0" fontId="4" fillId="0" borderId="9" xfId="0" applyFont="1" applyBorder="1" applyAlignment="1">
      <alignment horizontal="left" vertical="center" wrapText="1"/>
    </xf>
    <xf numFmtId="0" fontId="4" fillId="0" borderId="31" xfId="0" applyFont="1" applyBorder="1" applyAlignment="1">
      <alignment horizontal="left" vertical="center" wrapText="1"/>
    </xf>
    <xf numFmtId="0" fontId="4" fillId="0" borderId="0" xfId="0" applyFont="1" applyAlignment="1">
      <alignment horizontal="left" vertical="center" wrapText="1"/>
    </xf>
    <xf numFmtId="0" fontId="4" fillId="0" borderId="29" xfId="0" applyFont="1" applyBorder="1" applyAlignment="1">
      <alignment horizontal="left" vertical="center" wrapText="1"/>
    </xf>
    <xf numFmtId="0" fontId="4" fillId="0" borderId="32" xfId="0" applyFont="1" applyBorder="1" applyAlignment="1">
      <alignment horizontal="left" vertical="center" wrapText="1"/>
    </xf>
    <xf numFmtId="0" fontId="4" fillId="0" borderId="11" xfId="0" applyFont="1" applyBorder="1" applyAlignment="1">
      <alignment horizontal="left" vertical="center" wrapText="1"/>
    </xf>
    <xf numFmtId="0" fontId="4" fillId="0" borderId="12" xfId="0" applyFont="1" applyBorder="1" applyAlignment="1">
      <alignment horizontal="left" vertical="center" wrapText="1"/>
    </xf>
    <xf numFmtId="0" fontId="4" fillId="0" borderId="7" xfId="0" applyFont="1" applyBorder="1" applyAlignment="1">
      <alignment horizontal="left" vertical="center"/>
    </xf>
    <xf numFmtId="0" fontId="7" fillId="0" borderId="8" xfId="0" applyFont="1" applyBorder="1" applyAlignment="1">
      <alignment horizontal="left" vertical="center"/>
    </xf>
    <xf numFmtId="0" fontId="7" fillId="0" borderId="9" xfId="0" applyFont="1" applyBorder="1" applyAlignment="1">
      <alignment horizontal="left" vertical="center"/>
    </xf>
    <xf numFmtId="0" fontId="7" fillId="0" borderId="10" xfId="0" applyFont="1" applyBorder="1" applyAlignment="1">
      <alignment horizontal="left" vertical="center"/>
    </xf>
    <xf numFmtId="0" fontId="7" fillId="0" borderId="11" xfId="0" applyFont="1" applyBorder="1" applyAlignment="1">
      <alignment horizontal="left" vertical="center"/>
    </xf>
    <xf numFmtId="0" fontId="7" fillId="0" borderId="12" xfId="0" applyFont="1" applyBorder="1" applyAlignment="1">
      <alignment horizontal="left" vertical="center"/>
    </xf>
    <xf numFmtId="0" fontId="4" fillId="0" borderId="3" xfId="0" applyFont="1" applyBorder="1" applyAlignment="1">
      <alignment horizontal="center" vertical="center" wrapText="1"/>
    </xf>
    <xf numFmtId="0" fontId="7" fillId="0" borderId="3" xfId="0" applyFont="1" applyBorder="1" applyAlignment="1">
      <alignment horizontal="center" vertical="center" wrapText="1"/>
    </xf>
    <xf numFmtId="0" fontId="4" fillId="0" borderId="17" xfId="0" applyFont="1" applyBorder="1" applyAlignment="1">
      <alignment horizontal="left" vertical="center" wrapText="1"/>
    </xf>
    <xf numFmtId="0" fontId="4" fillId="0" borderId="18" xfId="0" applyFont="1" applyBorder="1" applyAlignment="1">
      <alignment horizontal="left" vertical="center" wrapText="1"/>
    </xf>
    <xf numFmtId="0" fontId="4" fillId="0" borderId="26" xfId="0" applyFont="1" applyBorder="1" applyAlignment="1">
      <alignment horizontal="left" vertical="center" wrapText="1"/>
    </xf>
    <xf numFmtId="0" fontId="4" fillId="0" borderId="20" xfId="0" applyFont="1" applyBorder="1" applyAlignment="1">
      <alignment horizontal="left" vertical="center" wrapText="1"/>
    </xf>
    <xf numFmtId="0" fontId="4" fillId="0" borderId="21" xfId="0" applyFont="1" applyBorder="1" applyAlignment="1">
      <alignment horizontal="left" vertical="center" wrapText="1"/>
    </xf>
    <xf numFmtId="0" fontId="4" fillId="0" borderId="27" xfId="0" applyFont="1" applyBorder="1" applyAlignment="1">
      <alignment horizontal="left" vertical="center" wrapText="1"/>
    </xf>
    <xf numFmtId="0" fontId="4" fillId="0" borderId="15" xfId="0" applyFont="1" applyBorder="1" applyAlignment="1">
      <alignment horizontal="left" vertical="center" wrapText="1"/>
    </xf>
    <xf numFmtId="0" fontId="4" fillId="0" borderId="10" xfId="0" applyFont="1" applyBorder="1" applyAlignment="1">
      <alignment horizontal="left" vertical="center" wrapText="1"/>
    </xf>
    <xf numFmtId="0" fontId="4" fillId="0" borderId="17" xfId="0" applyFont="1" applyBorder="1" applyAlignment="1">
      <alignment horizontal="center" vertical="center" wrapText="1"/>
    </xf>
    <xf numFmtId="0" fontId="4" fillId="0" borderId="26" xfId="0" applyFont="1" applyBorder="1" applyAlignment="1">
      <alignment horizontal="center" vertical="center" wrapText="1"/>
    </xf>
    <xf numFmtId="0" fontId="4" fillId="0" borderId="20" xfId="0" applyFont="1" applyBorder="1" applyAlignment="1">
      <alignment horizontal="center" vertical="center" wrapText="1"/>
    </xf>
    <xf numFmtId="0" fontId="4" fillId="0" borderId="27" xfId="0" applyFont="1" applyBorder="1" applyAlignment="1">
      <alignment horizontal="center" vertical="center" wrapText="1"/>
    </xf>
    <xf numFmtId="0" fontId="4" fillId="0" borderId="28" xfId="0" applyFont="1" applyBorder="1" applyAlignment="1">
      <alignment horizontal="left" vertical="center" wrapText="1"/>
    </xf>
    <xf numFmtId="0" fontId="2" fillId="4" borderId="3" xfId="0" applyFont="1" applyFill="1" applyBorder="1" applyAlignment="1">
      <alignment horizontal="center" vertical="center" wrapText="1"/>
    </xf>
    <xf numFmtId="0" fontId="4" fillId="0" borderId="22" xfId="0" applyFont="1" applyBorder="1" applyAlignment="1">
      <alignment horizontal="center" vertical="center" wrapText="1"/>
    </xf>
    <xf numFmtId="0" fontId="4" fillId="0" borderId="23" xfId="0" applyFont="1" applyBorder="1" applyAlignment="1">
      <alignment horizontal="center" vertical="center" wrapText="1"/>
    </xf>
    <xf numFmtId="0" fontId="4" fillId="0" borderId="25" xfId="0" applyFont="1" applyBorder="1" applyAlignment="1">
      <alignment horizontal="center" vertical="center" wrapText="1"/>
    </xf>
    <xf numFmtId="0" fontId="7" fillId="0" borderId="22" xfId="0" applyFont="1" applyBorder="1" applyAlignment="1">
      <alignment horizontal="center" vertical="center" wrapText="1"/>
    </xf>
    <xf numFmtId="0" fontId="7" fillId="0" borderId="23" xfId="0" applyFont="1" applyBorder="1" applyAlignment="1">
      <alignment horizontal="center" vertical="center" wrapText="1"/>
    </xf>
    <xf numFmtId="0" fontId="7" fillId="0" borderId="25" xfId="0" applyFont="1" applyBorder="1" applyAlignment="1">
      <alignment horizontal="center" vertical="center" wrapText="1"/>
    </xf>
    <xf numFmtId="0" fontId="2" fillId="6" borderId="4" xfId="0" applyFont="1" applyFill="1" applyBorder="1" applyAlignment="1">
      <alignment horizontal="center" vertical="center" wrapText="1"/>
    </xf>
    <xf numFmtId="0" fontId="2" fillId="7" borderId="3" xfId="0" applyFont="1" applyFill="1" applyBorder="1" applyAlignment="1">
      <alignment horizontal="center" vertical="center"/>
    </xf>
    <xf numFmtId="0" fontId="2" fillId="7" borderId="24" xfId="0" applyFont="1" applyFill="1" applyBorder="1" applyAlignment="1">
      <alignment horizontal="center" vertical="center"/>
    </xf>
    <xf numFmtId="0" fontId="7" fillId="0" borderId="16" xfId="0" applyFont="1" applyBorder="1" applyAlignment="1">
      <alignment horizontal="center" vertical="center"/>
    </xf>
    <xf numFmtId="0" fontId="7" fillId="0" borderId="19" xfId="0" applyFont="1" applyBorder="1" applyAlignment="1">
      <alignment horizontal="center" vertical="center"/>
    </xf>
    <xf numFmtId="0" fontId="4" fillId="0" borderId="0" xfId="0" applyFont="1" applyAlignment="1">
      <alignment horizontal="center" vertical="center"/>
    </xf>
    <xf numFmtId="0" fontId="7" fillId="0" borderId="0" xfId="0" applyFont="1" applyAlignment="1">
      <alignment horizontal="center" vertical="center"/>
    </xf>
    <xf numFmtId="0" fontId="7" fillId="0" borderId="24" xfId="0" applyFont="1" applyBorder="1" applyAlignment="1">
      <alignment horizontal="center" vertical="center" wrapText="1"/>
    </xf>
    <xf numFmtId="0" fontId="4" fillId="0" borderId="19" xfId="0" applyFont="1" applyBorder="1" applyAlignment="1">
      <alignment horizontal="center" vertical="center" wrapText="1"/>
    </xf>
    <xf numFmtId="0" fontId="7" fillId="0" borderId="19" xfId="0" applyFont="1" applyBorder="1" applyAlignment="1">
      <alignment horizontal="center" vertical="center" wrapText="1"/>
    </xf>
    <xf numFmtId="0" fontId="2" fillId="0" borderId="30" xfId="0" applyFont="1" applyBorder="1" applyAlignment="1">
      <alignment horizontal="left" vertical="center" wrapText="1"/>
    </xf>
    <xf numFmtId="0" fontId="2" fillId="0" borderId="8" xfId="0" applyFont="1" applyBorder="1" applyAlignment="1">
      <alignment horizontal="left" vertical="center" wrapText="1"/>
    </xf>
    <xf numFmtId="0" fontId="2" fillId="0" borderId="9" xfId="0" applyFont="1" applyBorder="1" applyAlignment="1">
      <alignment horizontal="left" vertical="center" wrapText="1"/>
    </xf>
    <xf numFmtId="0" fontId="2" fillId="0" borderId="31" xfId="0" applyFont="1" applyBorder="1" applyAlignment="1">
      <alignment horizontal="left" vertical="center" wrapText="1"/>
    </xf>
    <xf numFmtId="0" fontId="2" fillId="0" borderId="0" xfId="0" applyFont="1" applyAlignment="1">
      <alignment horizontal="left" vertical="center" wrapText="1"/>
    </xf>
    <xf numFmtId="0" fontId="2" fillId="0" borderId="29" xfId="0" applyFont="1" applyBorder="1" applyAlignment="1">
      <alignment horizontal="left" vertical="center" wrapText="1"/>
    </xf>
    <xf numFmtId="0" fontId="2" fillId="0" borderId="32" xfId="0" applyFont="1" applyBorder="1" applyAlignment="1">
      <alignment horizontal="left" vertical="center" wrapText="1"/>
    </xf>
    <xf numFmtId="0" fontId="2" fillId="0" borderId="11" xfId="0" applyFont="1" applyBorder="1" applyAlignment="1">
      <alignment horizontal="left" vertical="center" wrapText="1"/>
    </xf>
    <xf numFmtId="0" fontId="2" fillId="0" borderId="12" xfId="0" applyFont="1" applyBorder="1" applyAlignment="1">
      <alignment horizontal="left" vertical="center" wrapText="1"/>
    </xf>
    <xf numFmtId="0" fontId="4" fillId="0" borderId="7" xfId="0" applyFont="1" applyBorder="1" applyAlignment="1">
      <alignment horizontal="left" vertical="center" wrapText="1"/>
    </xf>
    <xf numFmtId="0" fontId="4" fillId="0" borderId="18" xfId="0" applyFont="1" applyBorder="1" applyAlignment="1">
      <alignment horizontal="center" vertical="center" wrapText="1"/>
    </xf>
    <xf numFmtId="0" fontId="4" fillId="0" borderId="21" xfId="0" applyFont="1" applyBorder="1" applyAlignment="1">
      <alignment horizontal="center" vertical="center" wrapText="1"/>
    </xf>
    <xf numFmtId="0" fontId="4" fillId="0" borderId="22" xfId="0" applyFont="1" applyBorder="1" applyAlignment="1">
      <alignment horizontal="left" vertical="center" wrapText="1"/>
    </xf>
    <xf numFmtId="0" fontId="4" fillId="0" borderId="23" xfId="0" applyFont="1" applyBorder="1" applyAlignment="1">
      <alignment horizontal="left" vertical="center" wrapText="1"/>
    </xf>
    <xf numFmtId="0" fontId="4" fillId="0" borderId="25" xfId="0" applyFont="1" applyBorder="1" applyAlignment="1">
      <alignment horizontal="left" vertical="center" wrapText="1"/>
    </xf>
    <xf numFmtId="0" fontId="7" fillId="0" borderId="22" xfId="0" applyFont="1" applyBorder="1" applyAlignment="1">
      <alignment horizontal="left" vertical="center" wrapText="1"/>
    </xf>
    <xf numFmtId="0" fontId="7" fillId="0" borderId="23" xfId="0" applyFont="1" applyBorder="1" applyAlignment="1">
      <alignment horizontal="left" vertical="center" wrapText="1"/>
    </xf>
    <xf numFmtId="0" fontId="7" fillId="0" borderId="25" xfId="0" applyFont="1" applyBorder="1" applyAlignment="1">
      <alignment horizontal="left" vertical="center" wrapText="1"/>
    </xf>
    <xf numFmtId="0" fontId="2" fillId="6" borderId="3" xfId="0" applyFont="1" applyFill="1" applyBorder="1" applyAlignment="1">
      <alignment horizontal="center" vertical="center" wrapText="1"/>
    </xf>
    <xf numFmtId="0" fontId="2" fillId="6" borderId="3" xfId="0" applyFont="1" applyFill="1" applyBorder="1" applyAlignment="1">
      <alignment horizontal="center" vertical="center"/>
    </xf>
    <xf numFmtId="0" fontId="4" fillId="0" borderId="16" xfId="0" applyFont="1" applyBorder="1" applyAlignment="1">
      <alignment horizontal="left" vertical="center" wrapText="1"/>
    </xf>
    <xf numFmtId="0" fontId="4" fillId="0" borderId="19" xfId="0" applyFont="1" applyBorder="1" applyAlignment="1">
      <alignment horizontal="left" vertical="center" wrapText="1"/>
    </xf>
    <xf numFmtId="0" fontId="4" fillId="0" borderId="24" xfId="0" applyFont="1" applyBorder="1" applyAlignment="1">
      <alignment horizontal="left" vertical="center" wrapText="1"/>
    </xf>
    <xf numFmtId="0" fontId="4" fillId="0" borderId="3" xfId="0" applyFont="1" applyBorder="1" applyAlignment="1">
      <alignment horizontal="left" vertical="center"/>
    </xf>
    <xf numFmtId="0" fontId="7" fillId="0" borderId="3" xfId="0" applyFont="1" applyBorder="1" applyAlignment="1">
      <alignment horizontal="left" vertical="center"/>
    </xf>
    <xf numFmtId="0" fontId="2" fillId="3" borderId="2" xfId="0" applyFont="1" applyFill="1" applyBorder="1" applyAlignment="1">
      <alignment horizontal="center" vertical="center"/>
    </xf>
    <xf numFmtId="0" fontId="2" fillId="4" borderId="22" xfId="0" applyFont="1" applyFill="1" applyBorder="1" applyAlignment="1">
      <alignment horizontal="left" vertical="center" wrapText="1"/>
    </xf>
    <xf numFmtId="0" fontId="2" fillId="4" borderId="23" xfId="0" applyFont="1" applyFill="1" applyBorder="1" applyAlignment="1">
      <alignment horizontal="left" vertical="center" wrapText="1"/>
    </xf>
    <xf numFmtId="0" fontId="2" fillId="4" borderId="18" xfId="0" applyFont="1" applyFill="1" applyBorder="1" applyAlignment="1">
      <alignment horizontal="left" vertical="center" wrapText="1"/>
    </xf>
    <xf numFmtId="0" fontId="2" fillId="4" borderId="26" xfId="0" applyFont="1" applyFill="1" applyBorder="1" applyAlignment="1">
      <alignment horizontal="left" vertical="center" wrapText="1"/>
    </xf>
    <xf numFmtId="0" fontId="2" fillId="0" borderId="3" xfId="0" applyFont="1" applyBorder="1" applyAlignment="1">
      <alignment horizontal="left" vertical="center" wrapText="1"/>
    </xf>
    <xf numFmtId="0" fontId="3" fillId="0" borderId="3" xfId="0" applyFont="1" applyBorder="1" applyAlignment="1">
      <alignment horizontal="left" vertical="center"/>
    </xf>
    <xf numFmtId="0" fontId="2" fillId="4" borderId="15" xfId="0" applyFont="1" applyFill="1" applyBorder="1" applyAlignment="1">
      <alignment horizontal="left" vertical="center" wrapText="1"/>
    </xf>
    <xf numFmtId="0" fontId="2" fillId="4" borderId="0" xfId="0" applyFont="1" applyFill="1" applyAlignment="1">
      <alignment horizontal="left" vertical="center" wrapText="1"/>
    </xf>
    <xf numFmtId="0" fontId="2" fillId="7" borderId="3" xfId="0" applyFont="1" applyFill="1" applyBorder="1" applyAlignment="1">
      <alignment horizontal="center" vertical="center" wrapText="1"/>
    </xf>
    <xf numFmtId="0" fontId="7" fillId="0" borderId="8" xfId="0" applyFont="1" applyBorder="1" applyAlignment="1">
      <alignment horizontal="left" vertical="center" wrapText="1"/>
    </xf>
    <xf numFmtId="0" fontId="7" fillId="0" borderId="9" xfId="0" applyFont="1" applyBorder="1" applyAlignment="1">
      <alignment horizontal="left" vertical="center" wrapText="1"/>
    </xf>
    <xf numFmtId="0" fontId="7" fillId="0" borderId="10" xfId="0" applyFont="1" applyBorder="1" applyAlignment="1">
      <alignment horizontal="left" vertical="center" wrapText="1"/>
    </xf>
    <xf numFmtId="0" fontId="7" fillId="0" borderId="11" xfId="0" applyFont="1" applyBorder="1" applyAlignment="1">
      <alignment horizontal="left" vertical="center" wrapText="1"/>
    </xf>
    <xf numFmtId="0" fontId="7" fillId="0" borderId="12" xfId="0" applyFont="1" applyBorder="1" applyAlignment="1">
      <alignment horizontal="left" vertical="center" wrapText="1"/>
    </xf>
    <xf numFmtId="178" fontId="4" fillId="0" borderId="17" xfId="0" applyNumberFormat="1" applyFont="1" applyBorder="1" applyAlignment="1">
      <alignment horizontal="center" vertical="center" wrapText="1"/>
    </xf>
    <xf numFmtId="178" fontId="4" fillId="0" borderId="18" xfId="0" applyNumberFormat="1" applyFont="1" applyBorder="1" applyAlignment="1">
      <alignment horizontal="center" vertical="center" wrapText="1"/>
    </xf>
    <xf numFmtId="178" fontId="4" fillId="0" borderId="26" xfId="0" applyNumberFormat="1" applyFont="1" applyBorder="1" applyAlignment="1">
      <alignment horizontal="center" vertical="center" wrapText="1"/>
    </xf>
    <xf numFmtId="178" fontId="4" fillId="0" borderId="20" xfId="0" applyNumberFormat="1" applyFont="1" applyBorder="1" applyAlignment="1">
      <alignment horizontal="center" vertical="center" wrapText="1"/>
    </xf>
    <xf numFmtId="178" fontId="4" fillId="0" borderId="21" xfId="0" applyNumberFormat="1" applyFont="1" applyBorder="1" applyAlignment="1">
      <alignment horizontal="center" vertical="center" wrapText="1"/>
    </xf>
    <xf numFmtId="178" fontId="4" fillId="0" borderId="27" xfId="0" applyNumberFormat="1" applyFont="1" applyBorder="1" applyAlignment="1">
      <alignment horizontal="center" vertical="center" wrapText="1"/>
    </xf>
    <xf numFmtId="0" fontId="2" fillId="7" borderId="22" xfId="0" applyFont="1" applyFill="1" applyBorder="1" applyAlignment="1">
      <alignment horizontal="center" vertical="center"/>
    </xf>
    <xf numFmtId="0" fontId="2" fillId="7" borderId="25" xfId="0" applyFont="1" applyFill="1" applyBorder="1" applyAlignment="1">
      <alignment horizontal="center" vertical="center"/>
    </xf>
    <xf numFmtId="0" fontId="4" fillId="5" borderId="3" xfId="0" applyFont="1" applyFill="1" applyBorder="1" applyAlignment="1">
      <alignment horizontal="center" vertical="center"/>
    </xf>
    <xf numFmtId="0" fontId="2" fillId="0" borderId="3" xfId="0" applyFont="1" applyBorder="1" applyAlignment="1">
      <alignment horizontal="center" vertical="center"/>
    </xf>
    <xf numFmtId="2" fontId="4" fillId="0" borderId="3" xfId="0" applyNumberFormat="1" applyFont="1" applyBorder="1" applyAlignment="1">
      <alignment horizontal="left" vertical="center"/>
    </xf>
    <xf numFmtId="2" fontId="7" fillId="0" borderId="3" xfId="0" applyNumberFormat="1" applyFont="1" applyBorder="1" applyAlignment="1">
      <alignment horizontal="left" vertical="center"/>
    </xf>
    <xf numFmtId="2" fontId="4" fillId="0" borderId="3" xfId="0" applyNumberFormat="1" applyFont="1" applyBorder="1" applyAlignment="1">
      <alignment horizontal="left" vertical="center" wrapText="1"/>
    </xf>
    <xf numFmtId="2" fontId="7" fillId="0" borderId="3" xfId="0" applyNumberFormat="1" applyFont="1" applyBorder="1" applyAlignment="1">
      <alignment horizontal="left" vertical="center" wrapText="1"/>
    </xf>
    <xf numFmtId="178" fontId="4" fillId="0" borderId="3" xfId="0" applyNumberFormat="1" applyFont="1" applyBorder="1" applyAlignment="1">
      <alignment horizontal="center" vertical="center" wrapText="1"/>
    </xf>
    <xf numFmtId="178" fontId="4" fillId="0" borderId="22" xfId="0" applyNumberFormat="1" applyFont="1" applyBorder="1" applyAlignment="1">
      <alignment horizontal="center" vertical="center" wrapText="1"/>
    </xf>
    <xf numFmtId="3" fontId="7" fillId="0" borderId="16" xfId="0" applyNumberFormat="1" applyFont="1" applyBorder="1" applyAlignment="1">
      <alignment horizontal="center" vertical="center"/>
    </xf>
    <xf numFmtId="0" fontId="2" fillId="4" borderId="24" xfId="0" applyFont="1" applyFill="1" applyBorder="1" applyAlignment="1">
      <alignment horizontal="center" vertical="center"/>
    </xf>
    <xf numFmtId="0" fontId="2" fillId="6" borderId="3" xfId="0" applyFont="1" applyFill="1" applyBorder="1" applyAlignment="1">
      <alignment horizontal="left" vertical="center" wrapText="1"/>
    </xf>
    <xf numFmtId="0" fontId="2" fillId="0" borderId="0" xfId="0" applyFont="1" applyAlignment="1">
      <alignment horizontal="center" vertical="center"/>
    </xf>
    <xf numFmtId="0" fontId="4" fillId="0" borderId="0" xfId="0" applyFont="1" applyAlignment="1">
      <alignment horizontal="center" vertical="center" wrapText="1"/>
    </xf>
    <xf numFmtId="0" fontId="7" fillId="0" borderId="0" xfId="0" applyFont="1" applyAlignment="1">
      <alignment horizontal="center" vertical="center" wrapText="1"/>
    </xf>
    <xf numFmtId="0" fontId="2" fillId="6" borderId="15" xfId="0" applyFont="1" applyFill="1" applyBorder="1" applyAlignment="1">
      <alignment horizontal="left" vertical="center" wrapText="1"/>
    </xf>
    <xf numFmtId="0" fontId="2" fillId="6" borderId="0" xfId="0" applyFont="1" applyFill="1" applyAlignment="1">
      <alignment horizontal="left" vertical="center" wrapText="1"/>
    </xf>
    <xf numFmtId="2" fontId="4" fillId="0" borderId="3" xfId="0" applyNumberFormat="1" applyFont="1" applyBorder="1" applyAlignment="1">
      <alignment horizontal="center" vertical="center"/>
    </xf>
    <xf numFmtId="2" fontId="7" fillId="0" borderId="3" xfId="0" applyNumberFormat="1" applyFont="1" applyBorder="1" applyAlignment="1">
      <alignment horizontal="center" vertical="center"/>
    </xf>
    <xf numFmtId="2" fontId="4" fillId="0" borderId="3" xfId="0" applyNumberFormat="1" applyFont="1" applyBorder="1" applyAlignment="1">
      <alignment horizontal="center" vertical="center" wrapText="1"/>
    </xf>
    <xf numFmtId="2" fontId="7" fillId="0" borderId="3" xfId="0" applyNumberFormat="1" applyFont="1" applyBorder="1" applyAlignment="1">
      <alignment horizontal="center" vertical="center" wrapText="1"/>
    </xf>
    <xf numFmtId="0" fontId="5" fillId="0" borderId="3" xfId="0" applyFont="1" applyBorder="1" applyAlignment="1">
      <alignment horizontal="left" vertical="center" wrapText="1"/>
    </xf>
    <xf numFmtId="0" fontId="6" fillId="0" borderId="3" xfId="0" applyFont="1" applyBorder="1" applyAlignment="1">
      <alignment horizontal="left" vertical="center"/>
    </xf>
    <xf numFmtId="0" fontId="7" fillId="0" borderId="18" xfId="0" applyFont="1" applyBorder="1" applyAlignment="1">
      <alignment horizontal="left" vertical="center" wrapText="1"/>
    </xf>
    <xf numFmtId="0" fontId="7" fillId="0" borderId="26" xfId="0" applyFont="1" applyBorder="1" applyAlignment="1">
      <alignment horizontal="left" vertical="center" wrapText="1"/>
    </xf>
    <xf numFmtId="0" fontId="7" fillId="0" borderId="20" xfId="0" applyFont="1" applyBorder="1" applyAlignment="1">
      <alignment horizontal="left" vertical="center" wrapText="1"/>
    </xf>
    <xf numFmtId="0" fontId="7" fillId="0" borderId="21" xfId="0" applyFont="1" applyBorder="1" applyAlignment="1">
      <alignment horizontal="left" vertical="center" wrapText="1"/>
    </xf>
    <xf numFmtId="0" fontId="7" fillId="0" borderId="27" xfId="0" applyFont="1" applyBorder="1" applyAlignment="1">
      <alignment horizontal="left" vertical="center" wrapText="1"/>
    </xf>
    <xf numFmtId="0" fontId="4" fillId="0" borderId="22" xfId="0" applyFont="1" applyBorder="1" applyAlignment="1">
      <alignment horizontal="left" vertical="center"/>
    </xf>
    <xf numFmtId="0" fontId="4" fillId="0" borderId="23" xfId="0" applyFont="1" applyBorder="1" applyAlignment="1">
      <alignment horizontal="left" vertical="center"/>
    </xf>
    <xf numFmtId="0" fontId="4" fillId="0" borderId="25" xfId="0" applyFont="1" applyBorder="1" applyAlignment="1">
      <alignment horizontal="left" vertical="center"/>
    </xf>
  </cellXfs>
  <cellStyles count="1">
    <cellStyle name="常规" xfId="0" builtinId="0"/>
  </cellStyles>
  <dxfs count="17">
    <dxf>
      <fill>
        <patternFill patternType="solid">
          <fgColor theme="4" tint="0.79995117038483843"/>
          <bgColor theme="4" tint="0.79995117038483843"/>
        </patternFill>
      </fill>
      <border>
        <bottom style="thin">
          <color theme="4" tint="0.39994506668294322"/>
        </bottom>
      </border>
    </dxf>
    <dxf>
      <font>
        <b/>
      </font>
      <fill>
        <patternFill patternType="solid">
          <fgColor theme="4" tint="0.79995117038483843"/>
          <bgColor theme="4" tint="0.79995117038483843"/>
        </patternFill>
      </fill>
      <border>
        <bottom style="thin">
          <color theme="4" tint="0.39994506668294322"/>
        </bottom>
      </border>
    </dxf>
    <dxf>
      <font>
        <color theme="1"/>
      </font>
    </dxf>
    <dxf>
      <font>
        <color theme="1"/>
      </font>
      <border>
        <bottom style="thin">
          <color theme="4" tint="0.39994506668294322"/>
        </bottom>
      </border>
    </dxf>
    <dxf>
      <font>
        <b/>
        <color theme="1"/>
      </font>
    </dxf>
    <dxf>
      <font>
        <b/>
        <color theme="1"/>
      </font>
      <border>
        <top style="thin">
          <color theme="4"/>
        </top>
        <bottom style="thin">
          <color theme="4"/>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fill>
        <patternFill patternType="solid">
          <fgColor theme="4" tint="0.79995117038483843"/>
          <bgColor theme="4" tint="0.79995117038483843"/>
        </patternFill>
      </fill>
      <border>
        <top style="thin">
          <color theme="4" tint="0.39994506668294322"/>
        </top>
        <bottom style="thin">
          <color theme="4" tint="0.39994506668294322"/>
        </bottom>
      </border>
    </dxf>
    <dxf>
      <font>
        <b/>
        <color theme="1"/>
      </font>
      <fill>
        <patternFill patternType="solid">
          <fgColor theme="4" tint="0.79995117038483843"/>
          <bgColor theme="4" tint="0.79995117038483843"/>
        </patternFill>
      </fill>
      <border>
        <bottom style="thin">
          <color theme="4" tint="0.39994506668294322"/>
        </bottom>
      </border>
    </dxf>
    <dxf>
      <fill>
        <patternFill patternType="solid">
          <fgColor theme="4" tint="0.79995117038483843"/>
          <bgColor theme="4" tint="0.79995117038483843"/>
        </patternFill>
      </fill>
    </dxf>
    <dxf>
      <fill>
        <patternFill patternType="solid">
          <fgColor theme="4" tint="0.79995117038483843"/>
          <bgColor theme="4" tint="0.79995117038483843"/>
        </patternFill>
      </fill>
    </dxf>
    <dxf>
      <font>
        <b/>
        <color theme="1"/>
      </font>
    </dxf>
    <dxf>
      <font>
        <b/>
        <color theme="1"/>
      </font>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4506668294322"/>
        </horizontal>
      </border>
    </dxf>
  </dxfs>
  <tableStyles count="2" defaultTableStyle="TableStylePreset3_Accent1" defaultPivotStyle="PivotStylePreset2_Accent1">
    <tableStyle name="TableStylePreset3_Accent1" pivot="0" count="7" xr9:uid="{59DB682C-5494-4EDE-A608-00C9E5F0F923}">
      <tableStyleElement type="wholeTable" dxfId="16"/>
      <tableStyleElement type="headerRow" dxfId="15"/>
      <tableStyleElement type="totalRow" dxfId="14"/>
      <tableStyleElement type="firstColumn" dxfId="13"/>
      <tableStyleElement type="lastColumn" dxfId="12"/>
      <tableStyleElement type="firstRowStripe" dxfId="11"/>
      <tableStyleElement type="firstColumnStripe" dxfId="10"/>
    </tableStyle>
    <tableStyle name="PivotStylePreset2_Accent1" table="0" count="10" xr9:uid="{267968C8-6FFD-4C36-ACC1-9EA1FD1885CA}">
      <tableStyleElement type="headerRow" dxfId="9"/>
      <tableStyleElement type="totalRow" dxfId="8"/>
      <tableStyleElement type="firstRowStripe" dxfId="7"/>
      <tableStyleElement type="firstColumnStripe" dxfId="6"/>
      <tableStyleElement type="firstSubtotalRow" dxfId="5"/>
      <tableStyleElement type="secondSubtotalRow" dxfId="4"/>
      <tableStyleElement type="firstRowSubheading" dxfId="3"/>
      <tableStyleElement type="secondRowSubheading" dxfId="2"/>
      <tableStyleElement type="pageFieldLabels" dxfId="1"/>
      <tableStyleElement type="pageFieldValues"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woinfos.xml><?xml version="1.0" encoding="utf-8"?>
<woInfos xmlns="https://web.wps.cn/et/2018/main" xmlns:s="http://schemas.openxmlformats.org/spreadsheetml/2006/main">
  <bookInfo cellCmpFml="478" dbFileVersion="0" changeLogVersion="0">
    <open main="91" threadCnt="1"/>
    <sheetInfos>
      <sheetInfo cellCmpFml="20" sheetStid="1">
        <open main="1" threadCnt="1"/>
      </sheetInfo>
      <sheetInfo cellCmpFml="25" sheetStid="3">
        <open main="2" threadCnt="1"/>
      </sheetInfo>
      <sheetInfo cellCmpFml="22" sheetStid="5">
        <open main="2" threadCnt="1"/>
      </sheetInfo>
      <sheetInfo cellCmpFml="26" sheetStid="7">
        <open main="2" threadCnt="1"/>
      </sheetInfo>
      <sheetInfo cellCmpFml="27" sheetStid="12">
        <open main="2" threadCnt="1"/>
      </sheetInfo>
      <sheetInfo cellCmpFml="36" sheetStid="26">
        <open main="2" threadCnt="1"/>
      </sheetInfo>
      <sheetInfo cellCmpFml="27" sheetStid="30">
        <open main="2" threadCnt="1"/>
      </sheetInfo>
      <sheetInfo cellCmpFml="29" sheetStid="8">
        <open main="1" threadCnt="1"/>
      </sheetInfo>
      <sheetInfo cellCmpFml="22" sheetStid="10">
        <open main="1" threadCnt="1"/>
      </sheetInfo>
      <sheetInfo cellCmpFml="29" sheetStid="17">
        <open main="2" threadCnt="1"/>
      </sheetInfo>
      <sheetInfo cellCmpFml="34" sheetStid="20">
        <open main="2" threadCnt="1"/>
      </sheetInfo>
      <sheetInfo cellCmpFml="26" sheetStid="24">
        <open main="2" threadCnt="1"/>
      </sheetInfo>
      <sheetInfo cellCmpFml="34" sheetStid="22">
        <open main="2" threadCnt="1"/>
      </sheetInfo>
      <sheetInfo cellCmpFml="30" sheetStid="28">
        <open main="2" threadCnt="1"/>
      </sheetInfo>
      <sheetInfo cellCmpFml="29" sheetStid="32">
        <open main="3" threadCnt="1"/>
      </sheetInfo>
      <sheetInfo cellCmpFml="62" sheetStid="14">
        <open main="1" threadCnt="1"/>
      </sheetInfo>
    </sheetInfos>
  </bookInfo>
</woInfos>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21" Type="http://schemas.openxmlformats.org/officeDocument/2006/relationships/customXml" Target="../customXml/item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www.wps.cn/officeDocument/2023/relationships/woinfos" Target="woinfos.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2.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73"/>
  <sheetViews>
    <sheetView topLeftCell="A58" workbookViewId="0">
      <selection activeCell="K77" sqref="K77"/>
    </sheetView>
  </sheetViews>
  <sheetFormatPr defaultColWidth="8.75" defaultRowHeight="14.25"/>
  <cols>
    <col min="1" max="1" width="10.625" style="52" customWidth="1"/>
    <col min="2" max="2" width="13.25" style="53" customWidth="1"/>
    <col min="3" max="3" width="14.875" style="53" customWidth="1"/>
    <col min="4" max="4" width="13" style="52" customWidth="1"/>
    <col min="5" max="5" width="13.5" style="53" customWidth="1"/>
    <col min="6" max="6" width="12.5" style="53" customWidth="1"/>
    <col min="7" max="7" width="16.25" style="53" customWidth="1"/>
    <col min="8" max="8" width="20.5" style="53" customWidth="1"/>
    <col min="9" max="9" width="14" style="53" customWidth="1"/>
    <col min="10" max="10" width="14.5" style="53" customWidth="1"/>
    <col min="11" max="11" width="17.5" style="53" customWidth="1"/>
    <col min="12" max="13" width="8.75" style="53"/>
    <col min="14" max="14" width="9.25" style="53"/>
    <col min="15" max="16" width="11.125" style="53"/>
    <col min="17" max="16384" width="8.75" style="53"/>
  </cols>
  <sheetData>
    <row r="1" spans="1:10" ht="14.1" customHeight="1">
      <c r="A1" s="136" t="s">
        <v>0</v>
      </c>
      <c r="B1" s="137"/>
      <c r="C1" s="137"/>
      <c r="D1" s="138"/>
      <c r="E1" s="137"/>
      <c r="F1" s="137"/>
      <c r="G1" s="137"/>
      <c r="H1" s="137"/>
      <c r="I1" s="137"/>
      <c r="J1" s="139"/>
    </row>
    <row r="2" spans="1:10" ht="14.1" customHeight="1">
      <c r="A2" s="3" t="s">
        <v>1</v>
      </c>
      <c r="B2" s="4" t="s">
        <v>2</v>
      </c>
      <c r="C2" s="4" t="s">
        <v>3</v>
      </c>
      <c r="D2" s="4" t="s">
        <v>4</v>
      </c>
      <c r="E2" s="4" t="s">
        <v>5</v>
      </c>
      <c r="F2" s="4" t="s">
        <v>6</v>
      </c>
      <c r="G2" s="4" t="s">
        <v>7</v>
      </c>
      <c r="H2" s="140" t="s">
        <v>8</v>
      </c>
      <c r="I2" s="140"/>
      <c r="J2" s="140"/>
    </row>
    <row r="3" spans="1:10" ht="14.1" customHeight="1">
      <c r="A3" s="5" t="s">
        <v>9</v>
      </c>
      <c r="B3" s="6">
        <v>1809</v>
      </c>
      <c r="C3" s="6">
        <v>1891</v>
      </c>
      <c r="D3" s="7">
        <f t="shared" ref="D3:D8" si="0">(C3-B3)/B3</f>
        <v>4.53289110005528E-2</v>
      </c>
      <c r="E3" s="7">
        <f>B3/4502</f>
        <v>0.40182141270546401</v>
      </c>
      <c r="F3" s="7">
        <f>C3/7374</f>
        <v>0.25644155139680003</v>
      </c>
      <c r="G3" s="7">
        <f>F3-E3</f>
        <v>-0.14537986130866501</v>
      </c>
      <c r="H3" s="172" t="s">
        <v>10</v>
      </c>
      <c r="I3" s="173"/>
      <c r="J3" s="174"/>
    </row>
    <row r="4" spans="1:10">
      <c r="A4" s="8" t="s">
        <v>11</v>
      </c>
      <c r="B4" s="6">
        <v>2203</v>
      </c>
      <c r="C4" s="6">
        <v>4959</v>
      </c>
      <c r="D4" s="7">
        <f t="shared" si="0"/>
        <v>1.2510213345437999</v>
      </c>
      <c r="E4" s="7">
        <f>B4/4502</f>
        <v>0.48933807196801399</v>
      </c>
      <c r="F4" s="7">
        <f>C4/7374</f>
        <v>0.67249796582587495</v>
      </c>
      <c r="G4" s="7">
        <f>F4-E4</f>
        <v>0.18315989385786099</v>
      </c>
      <c r="H4" s="175"/>
      <c r="I4" s="176"/>
      <c r="J4" s="177"/>
    </row>
    <row r="5" spans="1:10">
      <c r="A5" s="8" t="s">
        <v>12</v>
      </c>
      <c r="B5" s="6">
        <v>490</v>
      </c>
      <c r="C5" s="6">
        <v>497</v>
      </c>
      <c r="D5" s="7">
        <f t="shared" si="0"/>
        <v>1.4285714285714299E-2</v>
      </c>
      <c r="E5" s="7">
        <f>B5/4502</f>
        <v>0.108840515326522</v>
      </c>
      <c r="F5" s="7">
        <f>C5/7374</f>
        <v>6.73989693517765E-2</v>
      </c>
      <c r="G5" s="7">
        <f>F5-E5</f>
        <v>-4.1441545974745003E-2</v>
      </c>
      <c r="H5" s="175"/>
      <c r="I5" s="176"/>
      <c r="J5" s="177"/>
    </row>
    <row r="6" spans="1:10">
      <c r="A6" s="8" t="s">
        <v>13</v>
      </c>
      <c r="B6" s="9">
        <v>370.36</v>
      </c>
      <c r="C6" s="9">
        <v>421.01</v>
      </c>
      <c r="D6" s="7">
        <f t="shared" si="0"/>
        <v>0.13675882924721899</v>
      </c>
      <c r="E6" s="9"/>
      <c r="F6" s="9"/>
      <c r="G6" s="9"/>
      <c r="H6" s="175"/>
      <c r="I6" s="176"/>
      <c r="J6" s="177"/>
    </row>
    <row r="7" spans="1:10">
      <c r="A7" s="8" t="s">
        <v>14</v>
      </c>
      <c r="B7" s="6">
        <v>344.13</v>
      </c>
      <c r="C7" s="10">
        <v>402.62</v>
      </c>
      <c r="D7" s="7">
        <f t="shared" si="0"/>
        <v>0.16996483886903199</v>
      </c>
      <c r="E7" s="9"/>
      <c r="F7" s="9"/>
      <c r="G7" s="9"/>
      <c r="H7" s="175"/>
      <c r="I7" s="176"/>
      <c r="J7" s="177"/>
    </row>
    <row r="8" spans="1:10">
      <c r="A8" s="8" t="s">
        <v>15</v>
      </c>
      <c r="B8" s="11">
        <v>120.11</v>
      </c>
      <c r="C8" s="11">
        <v>76.709999999999994</v>
      </c>
      <c r="D8" s="7">
        <f t="shared" si="0"/>
        <v>-0.361335442511032</v>
      </c>
      <c r="E8" s="9"/>
      <c r="F8" s="9"/>
      <c r="G8" s="9"/>
      <c r="H8" s="178"/>
      <c r="I8" s="179"/>
      <c r="J8" s="180"/>
    </row>
    <row r="9" spans="1:10">
      <c r="A9" s="53"/>
      <c r="C9" s="105"/>
    </row>
    <row r="10" spans="1:10">
      <c r="A10" s="53"/>
    </row>
    <row r="11" spans="1:10">
      <c r="A11" s="53"/>
    </row>
    <row r="14" spans="1:10">
      <c r="A14" s="141" t="s">
        <v>16</v>
      </c>
      <c r="B14" s="142"/>
      <c r="C14" s="142"/>
      <c r="D14" s="143"/>
      <c r="E14" s="142"/>
      <c r="F14" s="142"/>
      <c r="G14" s="142"/>
      <c r="H14" s="142"/>
      <c r="I14" s="142"/>
      <c r="J14" s="144"/>
    </row>
    <row r="15" spans="1:10" s="105" customFormat="1">
      <c r="A15" s="145" t="s">
        <v>1</v>
      </c>
      <c r="B15" s="145"/>
      <c r="C15" s="24" t="s">
        <v>17</v>
      </c>
      <c r="D15" s="24" t="s">
        <v>18</v>
      </c>
      <c r="E15" s="24" t="s">
        <v>19</v>
      </c>
      <c r="F15" s="24" t="s">
        <v>20</v>
      </c>
      <c r="G15" s="145" t="s">
        <v>21</v>
      </c>
      <c r="H15" s="145"/>
      <c r="I15" s="145"/>
      <c r="J15" s="145"/>
    </row>
    <row r="16" spans="1:10">
      <c r="A16" s="166" t="s">
        <v>22</v>
      </c>
      <c r="B16" s="51" t="s">
        <v>23</v>
      </c>
      <c r="C16" s="107">
        <v>1592614</v>
      </c>
      <c r="D16" s="113">
        <v>1083088</v>
      </c>
      <c r="E16" s="108">
        <f t="shared" ref="E16:E23" si="1">(C16-D16)/D16</f>
        <v>0.47043822847266298</v>
      </c>
      <c r="F16" s="108">
        <v>0.37828394656471498</v>
      </c>
      <c r="G16" s="181" t="s">
        <v>24</v>
      </c>
      <c r="H16" s="182"/>
      <c r="I16" s="182"/>
      <c r="J16" s="183"/>
    </row>
    <row r="17" spans="1:18">
      <c r="A17" s="164"/>
      <c r="B17" s="25" t="s">
        <v>25</v>
      </c>
      <c r="C17" s="109">
        <v>113790</v>
      </c>
      <c r="D17" s="111">
        <v>87425</v>
      </c>
      <c r="E17" s="108">
        <f t="shared" si="1"/>
        <v>0.30157277666571303</v>
      </c>
      <c r="F17" s="108">
        <v>2.7027848731455899E-2</v>
      </c>
      <c r="G17" s="184"/>
      <c r="H17" s="185"/>
      <c r="I17" s="185"/>
      <c r="J17" s="186"/>
    </row>
    <row r="18" spans="1:18" ht="35.1" customHeight="1">
      <c r="A18" s="164" t="s">
        <v>26</v>
      </c>
      <c r="B18" s="25" t="s">
        <v>27</v>
      </c>
      <c r="C18" s="109">
        <v>2231848.08</v>
      </c>
      <c r="D18" s="111">
        <v>1869598.3</v>
      </c>
      <c r="E18" s="108">
        <f t="shared" si="1"/>
        <v>0.19375808161571401</v>
      </c>
      <c r="F18" s="108">
        <v>0.53011734157509705</v>
      </c>
      <c r="G18" s="146" t="s">
        <v>28</v>
      </c>
      <c r="H18" s="147"/>
      <c r="I18" s="147"/>
      <c r="J18" s="147"/>
    </row>
    <row r="19" spans="1:18" ht="45.6" customHeight="1">
      <c r="A19" s="164"/>
      <c r="B19" s="25" t="s">
        <v>29</v>
      </c>
      <c r="C19" s="109">
        <v>461750</v>
      </c>
      <c r="D19" s="111">
        <v>454000</v>
      </c>
      <c r="E19" s="108">
        <f t="shared" si="1"/>
        <v>1.7070484581497802E-2</v>
      </c>
      <c r="F19" s="108">
        <v>0.109676677667192</v>
      </c>
      <c r="G19" s="148" t="s">
        <v>30</v>
      </c>
      <c r="H19" s="149"/>
      <c r="I19" s="149"/>
      <c r="J19" s="149"/>
    </row>
    <row r="20" spans="1:18">
      <c r="A20" s="164" t="s">
        <v>31</v>
      </c>
      <c r="B20" s="25" t="s">
        <v>32</v>
      </c>
      <c r="C20" s="109">
        <v>1042584</v>
      </c>
      <c r="D20" s="111">
        <v>382459</v>
      </c>
      <c r="E20" s="27">
        <f t="shared" si="1"/>
        <v>1.7260020028290599</v>
      </c>
      <c r="F20" s="108">
        <v>0.27829698635987499</v>
      </c>
      <c r="G20" s="150" t="s">
        <v>33</v>
      </c>
      <c r="H20" s="150"/>
      <c r="I20" s="150"/>
      <c r="J20" s="150"/>
    </row>
    <row r="21" spans="1:18">
      <c r="A21" s="164"/>
      <c r="B21" s="25" t="s">
        <v>34</v>
      </c>
      <c r="C21" s="109">
        <v>401671.99</v>
      </c>
      <c r="D21" s="111">
        <v>13070.79</v>
      </c>
      <c r="E21" s="27">
        <f t="shared" si="1"/>
        <v>29.730505960236499</v>
      </c>
      <c r="F21" s="108">
        <v>9.5406712236425606E-2</v>
      </c>
      <c r="G21" s="195" t="s">
        <v>35</v>
      </c>
      <c r="H21" s="176"/>
      <c r="I21" s="176"/>
      <c r="J21" s="177"/>
    </row>
    <row r="22" spans="1:18" ht="27.75" customHeight="1">
      <c r="A22" s="164"/>
      <c r="B22" s="25" t="s">
        <v>36</v>
      </c>
      <c r="C22" s="109">
        <v>121862.82</v>
      </c>
      <c r="D22" s="111">
        <v>82685</v>
      </c>
      <c r="E22" s="27">
        <f t="shared" si="1"/>
        <v>0.47382016085142398</v>
      </c>
      <c r="F22" s="108">
        <v>2.8945336716307599E-2</v>
      </c>
      <c r="G22" s="196"/>
      <c r="H22" s="179"/>
      <c r="I22" s="179"/>
      <c r="J22" s="180"/>
    </row>
    <row r="23" spans="1:18" ht="75" customHeight="1">
      <c r="A23" s="167"/>
      <c r="B23" s="45" t="s">
        <v>37</v>
      </c>
      <c r="C23" s="114">
        <v>279000</v>
      </c>
      <c r="D23" s="115">
        <v>297000</v>
      </c>
      <c r="E23" s="125">
        <f t="shared" si="1"/>
        <v>-6.0606060606060601E-2</v>
      </c>
      <c r="F23" s="108">
        <v>6.6269178276440799E-2</v>
      </c>
      <c r="G23" s="151" t="s">
        <v>38</v>
      </c>
      <c r="H23" s="149"/>
      <c r="I23" s="149"/>
      <c r="J23" s="149"/>
    </row>
    <row r="24" spans="1:18">
      <c r="A24" s="187" t="s">
        <v>39</v>
      </c>
      <c r="B24" s="188"/>
      <c r="C24" s="188"/>
      <c r="D24" s="188"/>
      <c r="E24" s="188"/>
      <c r="F24" s="188"/>
      <c r="G24" s="188"/>
      <c r="H24" s="188"/>
      <c r="I24" s="188"/>
      <c r="J24" s="188"/>
    </row>
    <row r="25" spans="1:18">
      <c r="A25" s="188"/>
      <c r="B25" s="188"/>
      <c r="C25" s="188"/>
      <c r="D25" s="188"/>
      <c r="E25" s="188"/>
      <c r="F25" s="188"/>
      <c r="G25" s="188"/>
      <c r="H25" s="188"/>
      <c r="I25" s="188"/>
      <c r="J25" s="188"/>
    </row>
    <row r="28" spans="1:18" s="117" customFormat="1">
      <c r="A28" s="152" t="s">
        <v>40</v>
      </c>
      <c r="B28" s="152"/>
      <c r="C28" s="152"/>
      <c r="D28" s="152"/>
      <c r="E28" s="152"/>
      <c r="F28" s="152"/>
      <c r="G28" s="152"/>
      <c r="H28" s="152"/>
      <c r="I28" s="152"/>
      <c r="J28" s="152"/>
      <c r="K28" s="152"/>
      <c r="M28" s="53"/>
      <c r="N28" s="53"/>
      <c r="O28" s="53"/>
      <c r="P28" s="53"/>
      <c r="Q28" s="53"/>
      <c r="R28" s="53"/>
    </row>
    <row r="29" spans="1:18" s="118" customFormat="1">
      <c r="A29" s="32" t="s">
        <v>41</v>
      </c>
      <c r="B29" s="32" t="s">
        <v>42</v>
      </c>
      <c r="C29" s="32" t="s">
        <v>43</v>
      </c>
      <c r="D29" s="32" t="s">
        <v>17</v>
      </c>
      <c r="E29" s="32" t="s">
        <v>18</v>
      </c>
      <c r="F29" s="32" t="s">
        <v>19</v>
      </c>
      <c r="G29" s="32" t="s">
        <v>20</v>
      </c>
      <c r="H29" s="153" t="s">
        <v>21</v>
      </c>
      <c r="I29" s="153"/>
      <c r="J29" s="153"/>
      <c r="K29" s="153"/>
      <c r="M29" s="53"/>
      <c r="N29" s="53"/>
      <c r="O29" s="53"/>
      <c r="P29" s="53"/>
      <c r="Q29" s="53"/>
      <c r="R29" s="53"/>
    </row>
    <row r="30" spans="1:18" ht="29.1" customHeight="1">
      <c r="A30" s="165" t="s">
        <v>44</v>
      </c>
      <c r="B30" s="127" t="s">
        <v>45</v>
      </c>
      <c r="C30" s="43" t="s">
        <v>46</v>
      </c>
      <c r="D30" s="26">
        <v>839575</v>
      </c>
      <c r="E30" s="26">
        <v>392737</v>
      </c>
      <c r="F30" s="28">
        <f>(D30-E30)/E30</f>
        <v>1.1377537639692701</v>
      </c>
      <c r="G30" s="28">
        <v>0.199419158965745</v>
      </c>
      <c r="H30" s="150" t="s">
        <v>47</v>
      </c>
      <c r="I30" s="150"/>
      <c r="J30" s="150"/>
      <c r="K30" s="150"/>
    </row>
    <row r="31" spans="1:18" ht="30" customHeight="1">
      <c r="A31" s="165"/>
      <c r="B31" s="127" t="s">
        <v>48</v>
      </c>
      <c r="C31" s="43" t="s">
        <v>49</v>
      </c>
      <c r="D31" s="26">
        <v>257492</v>
      </c>
      <c r="E31" s="26">
        <v>140658</v>
      </c>
      <c r="F31" s="28">
        <f>(D31-E31)/E31</f>
        <v>0.83062463564105804</v>
      </c>
      <c r="G31" s="28">
        <v>6.1160513450742998E-2</v>
      </c>
      <c r="H31" s="150"/>
      <c r="I31" s="150"/>
      <c r="J31" s="150"/>
      <c r="K31" s="150"/>
    </row>
    <row r="32" spans="1:18">
      <c r="A32" s="165"/>
      <c r="B32" s="127" t="s">
        <v>50</v>
      </c>
      <c r="C32" s="43" t="s">
        <v>51</v>
      </c>
      <c r="D32" s="26">
        <v>414811</v>
      </c>
      <c r="E32" s="26">
        <v>427703</v>
      </c>
      <c r="F32" s="28">
        <f>(D32-E32)/E32</f>
        <v>-3.01424119073282E-2</v>
      </c>
      <c r="G32" s="28">
        <v>9.8527541613006003E-2</v>
      </c>
      <c r="H32" s="150" t="s">
        <v>52</v>
      </c>
      <c r="I32" s="150"/>
      <c r="J32" s="150"/>
      <c r="K32" s="150"/>
    </row>
    <row r="33" spans="1:11">
      <c r="A33" s="165"/>
      <c r="B33" s="127" t="s">
        <v>53</v>
      </c>
      <c r="C33" s="43" t="s">
        <v>54</v>
      </c>
      <c r="D33" s="26">
        <v>406885</v>
      </c>
      <c r="E33" s="26">
        <v>254543</v>
      </c>
      <c r="F33" s="28">
        <f>(D33-E33)/E33</f>
        <v>0.59849219974621204</v>
      </c>
      <c r="G33" s="28">
        <v>9.6644926892507602E-2</v>
      </c>
      <c r="H33" s="150"/>
      <c r="I33" s="150"/>
      <c r="J33" s="150"/>
      <c r="K33" s="150"/>
    </row>
    <row r="34" spans="1:11" ht="29.1" customHeight="1">
      <c r="A34" s="165"/>
      <c r="B34" s="127" t="s">
        <v>55</v>
      </c>
      <c r="C34" s="43" t="s">
        <v>56</v>
      </c>
      <c r="D34" s="26">
        <v>105060</v>
      </c>
      <c r="E34" s="29" t="s">
        <v>57</v>
      </c>
      <c r="F34" s="27" t="s">
        <v>57</v>
      </c>
      <c r="G34" s="28">
        <v>2.4954264766031801E-2</v>
      </c>
      <c r="H34" s="150" t="s">
        <v>58</v>
      </c>
      <c r="I34" s="150"/>
      <c r="J34" s="150"/>
      <c r="K34" s="150"/>
    </row>
    <row r="35" spans="1:11">
      <c r="A35" s="165" t="s">
        <v>59</v>
      </c>
      <c r="B35" s="127" t="s">
        <v>60</v>
      </c>
      <c r="C35" s="43" t="s">
        <v>61</v>
      </c>
      <c r="D35" s="26">
        <v>43428</v>
      </c>
      <c r="E35" s="26">
        <v>56518</v>
      </c>
      <c r="F35" s="28">
        <f t="shared" ref="F35:F42" si="2">(D35-E35)/E35</f>
        <v>-0.231607629427793</v>
      </c>
      <c r="G35" s="28">
        <v>1.0315189513223201E-2</v>
      </c>
      <c r="H35" s="150" t="s">
        <v>62</v>
      </c>
      <c r="I35" s="161"/>
      <c r="J35" s="161"/>
      <c r="K35" s="161"/>
    </row>
    <row r="36" spans="1:11">
      <c r="A36" s="165"/>
      <c r="B36" s="127" t="s">
        <v>63</v>
      </c>
      <c r="C36" s="43" t="s">
        <v>64</v>
      </c>
      <c r="D36" s="26">
        <v>26249</v>
      </c>
      <c r="E36" s="26">
        <v>10034</v>
      </c>
      <c r="F36" s="28">
        <f t="shared" si="2"/>
        <v>1.61600558102452</v>
      </c>
      <c r="G36" s="28">
        <v>6.2347658085243497E-3</v>
      </c>
      <c r="H36" s="161"/>
      <c r="I36" s="161"/>
      <c r="J36" s="161"/>
      <c r="K36" s="161"/>
    </row>
    <row r="37" spans="1:11">
      <c r="A37" s="165"/>
      <c r="B37" s="127" t="s">
        <v>65</v>
      </c>
      <c r="C37" s="43" t="s">
        <v>66</v>
      </c>
      <c r="D37" s="26">
        <v>113102</v>
      </c>
      <c r="E37" s="26">
        <v>129269</v>
      </c>
      <c r="F37" s="28">
        <f t="shared" si="2"/>
        <v>-0.12506478738135199</v>
      </c>
      <c r="G37" s="28">
        <v>2.6864432263161299E-2</v>
      </c>
      <c r="H37" s="161"/>
      <c r="I37" s="161"/>
      <c r="J37" s="161"/>
      <c r="K37" s="161"/>
    </row>
    <row r="38" spans="1:11">
      <c r="A38" s="165"/>
      <c r="B38" s="127" t="s">
        <v>67</v>
      </c>
      <c r="C38" s="43" t="s">
        <v>68</v>
      </c>
      <c r="D38" s="26">
        <v>46262</v>
      </c>
      <c r="E38" s="26">
        <v>21674</v>
      </c>
      <c r="F38" s="28">
        <f t="shared" si="2"/>
        <v>1.13444680262065</v>
      </c>
      <c r="G38" s="28">
        <v>1.09883323491925E-2</v>
      </c>
      <c r="H38" s="161"/>
      <c r="I38" s="161"/>
      <c r="J38" s="161"/>
      <c r="K38" s="161"/>
    </row>
    <row r="39" spans="1:11">
      <c r="A39" s="165"/>
      <c r="B39" s="127" t="s">
        <v>69</v>
      </c>
      <c r="C39" s="43" t="s">
        <v>70</v>
      </c>
      <c r="D39" s="26">
        <v>57897</v>
      </c>
      <c r="E39" s="26">
        <v>60408</v>
      </c>
      <c r="F39" s="28">
        <f t="shared" si="2"/>
        <v>-4.1567342073897499E-2</v>
      </c>
      <c r="G39" s="28">
        <v>1.37519233500756E-2</v>
      </c>
      <c r="H39" s="150" t="s">
        <v>71</v>
      </c>
      <c r="I39" s="161"/>
      <c r="J39" s="161"/>
      <c r="K39" s="161"/>
    </row>
    <row r="40" spans="1:11" ht="33.75" customHeight="1">
      <c r="A40" s="165"/>
      <c r="B40" s="127" t="s">
        <v>72</v>
      </c>
      <c r="C40" s="43" t="s">
        <v>73</v>
      </c>
      <c r="D40" s="26">
        <v>31720</v>
      </c>
      <c r="E40" s="26">
        <v>25685</v>
      </c>
      <c r="F40" s="28">
        <f t="shared" si="2"/>
        <v>0.23496204010122601</v>
      </c>
      <c r="G40" s="28">
        <v>7.5342592649774304E-3</v>
      </c>
      <c r="H40" s="161"/>
      <c r="I40" s="161"/>
      <c r="J40" s="161"/>
      <c r="K40" s="161"/>
    </row>
    <row r="41" spans="1:11">
      <c r="A41" s="164" t="s">
        <v>74</v>
      </c>
      <c r="B41" s="126">
        <v>100127194542</v>
      </c>
      <c r="C41" s="43" t="s">
        <v>75</v>
      </c>
      <c r="D41" s="26">
        <v>33270</v>
      </c>
      <c r="E41" s="26">
        <v>25366</v>
      </c>
      <c r="F41" s="28">
        <f t="shared" si="2"/>
        <v>0.31159820231806401</v>
      </c>
      <c r="G41" s="28">
        <v>7.9024213665132102E-3</v>
      </c>
      <c r="H41" s="150" t="s">
        <v>76</v>
      </c>
      <c r="I41" s="161"/>
      <c r="J41" s="161"/>
      <c r="K41" s="161"/>
    </row>
    <row r="42" spans="1:11">
      <c r="A42" s="165"/>
      <c r="B42" s="126">
        <v>100150693764</v>
      </c>
      <c r="C42" s="49" t="s">
        <v>77</v>
      </c>
      <c r="D42" s="26">
        <v>23597</v>
      </c>
      <c r="E42" s="26">
        <v>36318</v>
      </c>
      <c r="F42" s="28">
        <f t="shared" si="2"/>
        <v>-0.35026708519191602</v>
      </c>
      <c r="G42" s="28">
        <v>5.6048523289934501E-3</v>
      </c>
      <c r="H42" s="161"/>
      <c r="I42" s="161"/>
      <c r="J42" s="161"/>
      <c r="K42" s="161"/>
    </row>
    <row r="43" spans="1:11">
      <c r="A43" s="164" t="s">
        <v>78</v>
      </c>
      <c r="B43" s="127" t="s">
        <v>79</v>
      </c>
      <c r="C43" s="43" t="s">
        <v>80</v>
      </c>
      <c r="D43" s="26">
        <v>23873</v>
      </c>
      <c r="E43" s="26"/>
      <c r="F43" s="28"/>
      <c r="G43" s="28">
        <v>5.6704089354604704E-3</v>
      </c>
      <c r="H43" s="150" t="s">
        <v>81</v>
      </c>
      <c r="I43" s="161"/>
      <c r="J43" s="161"/>
      <c r="K43" s="161"/>
    </row>
    <row r="44" spans="1:11">
      <c r="A44" s="164"/>
      <c r="B44" s="127" t="s">
        <v>82</v>
      </c>
      <c r="C44" s="49" t="s">
        <v>83</v>
      </c>
      <c r="D44" s="26">
        <v>20083</v>
      </c>
      <c r="E44" s="26"/>
      <c r="F44" s="28"/>
      <c r="G44" s="28">
        <v>4.7701932162213601E-3</v>
      </c>
      <c r="H44" s="161"/>
      <c r="I44" s="161"/>
      <c r="J44" s="161"/>
      <c r="K44" s="161"/>
    </row>
    <row r="45" spans="1:11">
      <c r="A45" s="164"/>
      <c r="B45" s="126">
        <v>100230489825</v>
      </c>
      <c r="C45" s="43" t="s">
        <v>84</v>
      </c>
      <c r="D45" s="26">
        <v>51893</v>
      </c>
      <c r="E45" s="26"/>
      <c r="F45" s="28"/>
      <c r="G45" s="28">
        <v>1.2325829635481501E-2</v>
      </c>
      <c r="H45" s="161"/>
      <c r="I45" s="161"/>
      <c r="J45" s="161"/>
      <c r="K45" s="161"/>
    </row>
    <row r="46" spans="1:11">
      <c r="A46" s="164"/>
      <c r="B46" s="126">
        <v>100307579062</v>
      </c>
      <c r="C46" s="49" t="s">
        <v>85</v>
      </c>
      <c r="D46" s="26">
        <v>53304</v>
      </c>
      <c r="E46" s="26"/>
      <c r="F46" s="28"/>
      <c r="G46" s="28">
        <v>1.26609759098473E-2</v>
      </c>
      <c r="H46" s="161"/>
      <c r="I46" s="161"/>
      <c r="J46" s="161"/>
      <c r="K46" s="161"/>
    </row>
    <row r="49" spans="1:16">
      <c r="A49" s="154" t="s">
        <v>86</v>
      </c>
      <c r="B49" s="155"/>
      <c r="C49" s="155"/>
      <c r="D49" s="156"/>
      <c r="E49" s="155"/>
      <c r="F49" s="155"/>
      <c r="G49" s="155"/>
      <c r="H49" s="155"/>
      <c r="I49" s="155"/>
      <c r="J49" s="157"/>
      <c r="P49" s="110"/>
    </row>
    <row r="50" spans="1:16">
      <c r="A50" s="158" t="s">
        <v>87</v>
      </c>
      <c r="B50" s="159"/>
      <c r="C50" s="120" t="s">
        <v>17</v>
      </c>
      <c r="D50" s="120" t="s">
        <v>18</v>
      </c>
      <c r="E50" s="120" t="s">
        <v>19</v>
      </c>
      <c r="F50" s="120" t="s">
        <v>20</v>
      </c>
      <c r="G50" s="160" t="s">
        <v>21</v>
      </c>
      <c r="H50" s="160"/>
      <c r="I50" s="160"/>
      <c r="J50" s="160"/>
    </row>
    <row r="51" spans="1:16" ht="34.5" customHeight="1">
      <c r="A51" s="167" t="s">
        <v>88</v>
      </c>
      <c r="B51" s="42" t="s">
        <v>89</v>
      </c>
      <c r="C51" s="26">
        <v>2670017.2200000002</v>
      </c>
      <c r="D51" s="26">
        <v>2396145.33</v>
      </c>
      <c r="E51" s="28">
        <f>(C51-D51)/D51</f>
        <v>0.114296861117351</v>
      </c>
      <c r="F51" s="28">
        <v>0.63290000000000002</v>
      </c>
      <c r="G51" s="189" t="s">
        <v>90</v>
      </c>
      <c r="H51" s="190"/>
      <c r="I51" s="190"/>
      <c r="J51" s="191"/>
    </row>
    <row r="52" spans="1:16" ht="34.5" customHeight="1">
      <c r="A52" s="168"/>
      <c r="B52" s="42" t="s">
        <v>91</v>
      </c>
      <c r="C52" s="26">
        <v>1548726.13</v>
      </c>
      <c r="D52" s="26">
        <v>1307935.72</v>
      </c>
      <c r="E52" s="28">
        <f>(C52-D52)/D52</f>
        <v>0.18409957486289899</v>
      </c>
      <c r="F52" s="28">
        <v>0.36709999999999998</v>
      </c>
      <c r="G52" s="192"/>
      <c r="H52" s="193"/>
      <c r="I52" s="193"/>
      <c r="J52" s="194"/>
    </row>
    <row r="53" spans="1:16" ht="34.5" customHeight="1">
      <c r="A53" s="167" t="s">
        <v>92</v>
      </c>
      <c r="B53" s="25" t="s">
        <v>93</v>
      </c>
      <c r="C53" s="26">
        <v>352571.01</v>
      </c>
      <c r="D53" s="26">
        <v>271589.03000000003</v>
      </c>
      <c r="E53" s="28">
        <f>(C53-D53)/D53</f>
        <v>0.298178391078609</v>
      </c>
      <c r="F53" s="28">
        <v>6.4500000000000002E-2</v>
      </c>
      <c r="G53" s="150" t="s">
        <v>94</v>
      </c>
      <c r="H53" s="161"/>
      <c r="I53" s="161"/>
      <c r="J53" s="161"/>
      <c r="K53" s="82"/>
      <c r="L53" s="82"/>
      <c r="M53" s="82"/>
      <c r="N53" s="82"/>
      <c r="O53" s="82"/>
      <c r="P53" s="82"/>
    </row>
    <row r="54" spans="1:16" ht="34.5" customHeight="1">
      <c r="A54" s="168"/>
      <c r="B54" s="42" t="s">
        <v>95</v>
      </c>
      <c r="C54" s="26">
        <v>1760332</v>
      </c>
      <c r="D54" s="26">
        <v>1410623</v>
      </c>
      <c r="E54" s="28">
        <f>(C54-D54)/D54</f>
        <v>0.24791102938205301</v>
      </c>
      <c r="F54" s="28">
        <v>0.41812098614237903</v>
      </c>
      <c r="G54" s="150" t="s">
        <v>96</v>
      </c>
      <c r="H54" s="161"/>
      <c r="I54" s="161"/>
      <c r="J54" s="161"/>
    </row>
    <row r="56" spans="1:16">
      <c r="A56" s="91" t="s">
        <v>97</v>
      </c>
      <c r="B56" s="91" t="s">
        <v>98</v>
      </c>
      <c r="C56" s="91" t="s">
        <v>99</v>
      </c>
      <c r="D56" s="91" t="s">
        <v>100</v>
      </c>
      <c r="E56" s="91" t="s">
        <v>101</v>
      </c>
      <c r="F56" s="162" t="s">
        <v>102</v>
      </c>
      <c r="G56" s="162"/>
      <c r="H56" s="163" t="s">
        <v>21</v>
      </c>
      <c r="I56" s="163"/>
    </row>
    <row r="57" spans="1:16" ht="59.25" customHeight="1">
      <c r="A57" s="25" t="s">
        <v>89</v>
      </c>
      <c r="B57" s="26">
        <v>13197</v>
      </c>
      <c r="C57" s="26">
        <v>929501</v>
      </c>
      <c r="D57" s="42">
        <v>70.430000000000007</v>
      </c>
      <c r="E57" s="170" t="s">
        <v>103</v>
      </c>
      <c r="F57" s="197" t="s">
        <v>104</v>
      </c>
      <c r="G57" s="198"/>
      <c r="H57" s="189" t="s">
        <v>105</v>
      </c>
      <c r="I57" s="191"/>
    </row>
    <row r="58" spans="1:16" ht="18" customHeight="1">
      <c r="A58" s="25" t="s">
        <v>19</v>
      </c>
      <c r="B58" s="28">
        <v>0.47549999999999998</v>
      </c>
      <c r="C58" s="28">
        <v>0.2918</v>
      </c>
      <c r="D58" s="28">
        <v>-0.1245</v>
      </c>
      <c r="E58" s="171"/>
      <c r="F58" s="199"/>
      <c r="G58" s="200"/>
      <c r="H58" s="195"/>
      <c r="I58" s="201"/>
    </row>
    <row r="59" spans="1:16" ht="84" customHeight="1">
      <c r="A59" s="25" t="s">
        <v>91</v>
      </c>
      <c r="B59" s="26">
        <v>5720</v>
      </c>
      <c r="C59" s="26">
        <v>497868</v>
      </c>
      <c r="D59" s="102">
        <v>87.04</v>
      </c>
      <c r="E59" s="170" t="s">
        <v>106</v>
      </c>
      <c r="F59" s="187" t="s">
        <v>107</v>
      </c>
      <c r="G59" s="187"/>
      <c r="H59" s="195"/>
      <c r="I59" s="201"/>
      <c r="K59" s="22"/>
    </row>
    <row r="60" spans="1:16">
      <c r="A60" s="25" t="s">
        <v>19</v>
      </c>
      <c r="B60" s="28">
        <v>0.47349999999999998</v>
      </c>
      <c r="C60" s="28">
        <v>0.33160000000000001</v>
      </c>
      <c r="D60" s="103">
        <v>-6.6299999999999998E-2</v>
      </c>
      <c r="E60" s="171"/>
      <c r="F60" s="187"/>
      <c r="G60" s="187"/>
      <c r="H60" s="192"/>
      <c r="I60" s="194"/>
    </row>
    <row r="61" spans="1:16">
      <c r="A61" s="25" t="s">
        <v>97</v>
      </c>
      <c r="B61" s="26">
        <v>18917</v>
      </c>
      <c r="C61" s="26">
        <v>1427369</v>
      </c>
      <c r="D61" s="42">
        <v>75.45</v>
      </c>
      <c r="E61" s="164" t="s">
        <v>108</v>
      </c>
      <c r="F61" s="165"/>
      <c r="G61" s="165"/>
      <c r="H61" s="165"/>
      <c r="I61" s="165"/>
    </row>
    <row r="62" spans="1:16">
      <c r="A62" s="42" t="s">
        <v>19</v>
      </c>
      <c r="B62" s="28">
        <v>0.47489999999999999</v>
      </c>
      <c r="C62" s="28">
        <v>0.3054</v>
      </c>
      <c r="D62" s="28">
        <v>-0.1149</v>
      </c>
      <c r="E62" s="165"/>
      <c r="F62" s="165"/>
      <c r="G62" s="165"/>
      <c r="H62" s="165"/>
      <c r="I62" s="165"/>
    </row>
    <row r="64" spans="1:16" ht="21.75" customHeight="1">
      <c r="A64" s="167" t="s">
        <v>109</v>
      </c>
      <c r="B64" s="62" t="s">
        <v>110</v>
      </c>
      <c r="C64" s="62" t="s">
        <v>111</v>
      </c>
      <c r="D64" s="62" t="s">
        <v>112</v>
      </c>
      <c r="E64" s="62" t="s">
        <v>113</v>
      </c>
      <c r="F64" s="62" t="s">
        <v>114</v>
      </c>
      <c r="G64" s="62" t="s">
        <v>115</v>
      </c>
    </row>
    <row r="65" spans="1:11" ht="21.75" customHeight="1">
      <c r="A65" s="169"/>
      <c r="B65" s="25" t="s">
        <v>116</v>
      </c>
      <c r="C65" s="42">
        <v>8792</v>
      </c>
      <c r="D65" s="42">
        <v>8999</v>
      </c>
      <c r="E65" s="26">
        <v>130917</v>
      </c>
      <c r="F65" s="165">
        <v>22</v>
      </c>
      <c r="G65" s="165">
        <v>2995</v>
      </c>
    </row>
    <row r="66" spans="1:11" ht="21.75" customHeight="1">
      <c r="A66" s="169"/>
      <c r="B66" s="25" t="s">
        <v>117</v>
      </c>
      <c r="C66" s="42">
        <v>1007</v>
      </c>
      <c r="D66" s="25">
        <v>1295</v>
      </c>
      <c r="E66" s="26">
        <v>42056</v>
      </c>
      <c r="F66" s="165"/>
      <c r="G66" s="165"/>
    </row>
    <row r="67" spans="1:11" ht="21.75" customHeight="1">
      <c r="A67" s="166"/>
      <c r="B67" s="25" t="s">
        <v>118</v>
      </c>
      <c r="C67" s="42">
        <v>2079</v>
      </c>
      <c r="D67" s="25">
        <v>2258</v>
      </c>
      <c r="E67" s="26">
        <v>75390.23</v>
      </c>
      <c r="F67" s="165"/>
      <c r="G67" s="165"/>
    </row>
    <row r="68" spans="1:11" ht="62.25" customHeight="1">
      <c r="A68" s="164" t="s">
        <v>119</v>
      </c>
      <c r="B68" s="165"/>
      <c r="C68" s="165"/>
      <c r="D68" s="165"/>
      <c r="E68" s="165"/>
      <c r="F68" s="165"/>
      <c r="G68" s="165"/>
    </row>
    <row r="71" spans="1:11">
      <c r="K71" s="25"/>
    </row>
    <row r="72" spans="1:11">
      <c r="K72" s="25"/>
    </row>
    <row r="73" spans="1:11">
      <c r="K73" s="25"/>
    </row>
  </sheetData>
  <sheetProtection formatCells="0" formatColumns="0" formatRows="0" insertColumns="0" insertRows="0" insertHyperlinks="0" deleteColumns="0" deleteRows="0" sort="0" autoFilter="0" pivotTables="0"/>
  <mergeCells count="49">
    <mergeCell ref="G51:J52"/>
    <mergeCell ref="G21:J22"/>
    <mergeCell ref="F57:G58"/>
    <mergeCell ref="F59:G60"/>
    <mergeCell ref="E61:I62"/>
    <mergeCell ref="H57:I60"/>
    <mergeCell ref="G16:J17"/>
    <mergeCell ref="H35:K38"/>
    <mergeCell ref="H39:K40"/>
    <mergeCell ref="H30:K31"/>
    <mergeCell ref="H32:K33"/>
    <mergeCell ref="A24:J25"/>
    <mergeCell ref="A51:A52"/>
    <mergeCell ref="A53:A54"/>
    <mergeCell ref="A64:A67"/>
    <mergeCell ref="E57:E58"/>
    <mergeCell ref="E59:E60"/>
    <mergeCell ref="A16:A17"/>
    <mergeCell ref="A18:A19"/>
    <mergeCell ref="A20:A23"/>
    <mergeCell ref="A30:A34"/>
    <mergeCell ref="A35:A40"/>
    <mergeCell ref="G53:J53"/>
    <mergeCell ref="G54:J54"/>
    <mergeCell ref="F56:G56"/>
    <mergeCell ref="H56:I56"/>
    <mergeCell ref="A68:G68"/>
    <mergeCell ref="F65:F67"/>
    <mergeCell ref="G65:G67"/>
    <mergeCell ref="H29:K29"/>
    <mergeCell ref="H34:K34"/>
    <mergeCell ref="A49:J49"/>
    <mergeCell ref="A50:B50"/>
    <mergeCell ref="G50:J50"/>
    <mergeCell ref="A41:A42"/>
    <mergeCell ref="A43:A46"/>
    <mergeCell ref="H41:K42"/>
    <mergeCell ref="H43:K46"/>
    <mergeCell ref="G18:J18"/>
    <mergeCell ref="G19:J19"/>
    <mergeCell ref="G20:J20"/>
    <mergeCell ref="G23:J23"/>
    <mergeCell ref="A28:K28"/>
    <mergeCell ref="A1:J1"/>
    <mergeCell ref="H2:J2"/>
    <mergeCell ref="A14:J14"/>
    <mergeCell ref="A15:B15"/>
    <mergeCell ref="G15:J15"/>
    <mergeCell ref="H3:J8"/>
  </mergeCells>
  <phoneticPr fontId="15"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128"/>
  <sheetViews>
    <sheetView topLeftCell="G35" zoomScale="60" zoomScaleNormal="60" workbookViewId="0">
      <selection activeCell="C63" sqref="C63:E64"/>
    </sheetView>
  </sheetViews>
  <sheetFormatPr defaultColWidth="8.75" defaultRowHeight="14.25"/>
  <cols>
    <col min="1" max="1" width="10.625" style="52" customWidth="1"/>
    <col min="2" max="2" width="16.5" style="53" customWidth="1"/>
    <col min="3" max="3" width="22.75" style="53" customWidth="1"/>
    <col min="4" max="4" width="11.75" style="52"/>
    <col min="5" max="6" width="11.125" style="53"/>
    <col min="7" max="7" width="14" style="53"/>
    <col min="8" max="8" width="11.125" style="53"/>
    <col min="9" max="9" width="8.75" style="53"/>
    <col min="10" max="10" width="14.5" style="53" customWidth="1"/>
    <col min="11" max="11" width="8.75" style="53"/>
    <col min="12" max="12" width="10.625" style="53" customWidth="1"/>
    <col min="13" max="13" width="12.75" style="53" customWidth="1"/>
    <col min="14" max="14" width="16.125" style="53" customWidth="1"/>
    <col min="15" max="15" width="13" style="53" customWidth="1"/>
    <col min="16" max="16" width="43.875" style="53" customWidth="1"/>
    <col min="17" max="17" width="12" style="53"/>
    <col min="18" max="19" width="8.75" style="53"/>
    <col min="20" max="20" width="11.125" style="53"/>
    <col min="21" max="21" width="8.75" style="53"/>
    <col min="22" max="22" width="11.125" style="53"/>
    <col min="23" max="16384" width="8.75" style="53"/>
  </cols>
  <sheetData>
    <row r="1" spans="1:10" ht="14.1" customHeight="1">
      <c r="A1" s="136" t="s">
        <v>120</v>
      </c>
      <c r="B1" s="137"/>
      <c r="C1" s="137"/>
      <c r="D1" s="138"/>
      <c r="E1" s="137"/>
      <c r="F1" s="137"/>
      <c r="G1" s="137"/>
      <c r="H1" s="137"/>
      <c r="I1" s="137"/>
      <c r="J1" s="139"/>
    </row>
    <row r="2" spans="1:10" ht="14.1" customHeight="1">
      <c r="A2" s="3" t="s">
        <v>1</v>
      </c>
      <c r="B2" s="4" t="s">
        <v>2</v>
      </c>
      <c r="C2" s="4" t="s">
        <v>3</v>
      </c>
      <c r="D2" s="4" t="s">
        <v>4</v>
      </c>
      <c r="E2" s="4" t="s">
        <v>5</v>
      </c>
      <c r="F2" s="4" t="s">
        <v>6</v>
      </c>
      <c r="G2" s="4" t="s">
        <v>7</v>
      </c>
      <c r="H2" s="140" t="s">
        <v>8</v>
      </c>
      <c r="I2" s="140"/>
      <c r="J2" s="140"/>
    </row>
    <row r="3" spans="1:10" ht="14.1" customHeight="1">
      <c r="A3" s="5" t="s">
        <v>9</v>
      </c>
      <c r="B3" s="5">
        <v>109.35</v>
      </c>
      <c r="C3" s="5">
        <v>181</v>
      </c>
      <c r="D3" s="7">
        <f t="shared" ref="D3:D8" si="0">(C3-B3)/B3</f>
        <v>0.65523548239597595</v>
      </c>
      <c r="E3" s="7">
        <f>B3/392.99</f>
        <v>0.27825135499630999</v>
      </c>
      <c r="F3" s="7">
        <f>C3/3360.4</f>
        <v>5.3862635400547601E-2</v>
      </c>
      <c r="G3" s="7">
        <f>F3-E3</f>
        <v>-0.22438871959576301</v>
      </c>
      <c r="H3" s="219" t="s">
        <v>121</v>
      </c>
      <c r="I3" s="220"/>
      <c r="J3" s="221"/>
    </row>
    <row r="4" spans="1:10">
      <c r="A4" s="8" t="s">
        <v>11</v>
      </c>
      <c r="B4" s="5">
        <v>229.14</v>
      </c>
      <c r="C4" s="5">
        <v>3114</v>
      </c>
      <c r="D4" s="7">
        <f t="shared" si="0"/>
        <v>12.5899450117832</v>
      </c>
      <c r="E4" s="7">
        <f>B4/392.99</f>
        <v>0.58306827145728901</v>
      </c>
      <c r="F4" s="7">
        <f>C4/3360.4</f>
        <v>0.92667539578621605</v>
      </c>
      <c r="G4" s="7">
        <f>F4-E4</f>
        <v>0.34360712432892698</v>
      </c>
      <c r="H4" s="222"/>
      <c r="I4" s="223"/>
      <c r="J4" s="224"/>
    </row>
    <row r="5" spans="1:10">
      <c r="A5" s="8" t="s">
        <v>12</v>
      </c>
      <c r="B5" s="12">
        <v>54.5</v>
      </c>
      <c r="C5" s="12">
        <v>65.400000000000006</v>
      </c>
      <c r="D5" s="7">
        <f t="shared" si="0"/>
        <v>0.2</v>
      </c>
      <c r="E5" s="7">
        <f>B5/392.99</f>
        <v>0.138680373546401</v>
      </c>
      <c r="F5" s="7">
        <f>C5/3360.4</f>
        <v>1.9461968813236499E-2</v>
      </c>
      <c r="G5" s="7">
        <f>F5-E5</f>
        <v>-0.119218404733164</v>
      </c>
      <c r="H5" s="222"/>
      <c r="I5" s="223"/>
      <c r="J5" s="224"/>
    </row>
    <row r="6" spans="1:10">
      <c r="A6" s="8" t="s">
        <v>13</v>
      </c>
      <c r="B6" s="104">
        <v>34.9</v>
      </c>
      <c r="C6" s="104">
        <v>57</v>
      </c>
      <c r="D6" s="7">
        <f t="shared" si="0"/>
        <v>0.63323782234957005</v>
      </c>
      <c r="E6" s="9"/>
      <c r="F6" s="9"/>
      <c r="G6" s="9"/>
      <c r="H6" s="222"/>
      <c r="I6" s="223"/>
      <c r="J6" s="224"/>
    </row>
    <row r="7" spans="1:10">
      <c r="A7" s="8" t="s">
        <v>14</v>
      </c>
      <c r="B7" s="12">
        <v>31.3</v>
      </c>
      <c r="C7" s="14">
        <v>52.96</v>
      </c>
      <c r="D7" s="7">
        <f t="shared" si="0"/>
        <v>0.69201277955271601</v>
      </c>
      <c r="E7" s="9"/>
      <c r="F7" s="9"/>
      <c r="G7" s="9"/>
      <c r="H7" s="222"/>
      <c r="I7" s="223"/>
      <c r="J7" s="224"/>
    </row>
    <row r="8" spans="1:10">
      <c r="A8" s="8" t="s">
        <v>15</v>
      </c>
      <c r="B8" s="84">
        <v>19.5</v>
      </c>
      <c r="C8" s="84">
        <v>8.4</v>
      </c>
      <c r="D8" s="7">
        <f t="shared" si="0"/>
        <v>-0.56923076923076898</v>
      </c>
      <c r="E8" s="9"/>
      <c r="F8" s="9"/>
      <c r="G8" s="9"/>
      <c r="H8" s="225"/>
      <c r="I8" s="226"/>
      <c r="J8" s="227"/>
    </row>
    <row r="9" spans="1:10">
      <c r="A9" s="53"/>
      <c r="C9" s="105"/>
    </row>
    <row r="10" spans="1:10">
      <c r="A10" s="53"/>
      <c r="D10" s="106"/>
    </row>
    <row r="11" spans="1:10">
      <c r="A11" s="53"/>
    </row>
    <row r="14" spans="1:10">
      <c r="A14" s="141" t="s">
        <v>122</v>
      </c>
      <c r="B14" s="142"/>
      <c r="C14" s="142"/>
      <c r="D14" s="143"/>
      <c r="E14" s="142"/>
      <c r="F14" s="142"/>
      <c r="G14" s="142"/>
      <c r="H14" s="142"/>
      <c r="I14" s="142"/>
      <c r="J14" s="144"/>
    </row>
    <row r="15" spans="1:10" s="105" customFormat="1">
      <c r="A15" s="145" t="s">
        <v>1</v>
      </c>
      <c r="B15" s="145"/>
      <c r="C15" s="24" t="s">
        <v>17</v>
      </c>
      <c r="D15" s="24" t="s">
        <v>18</v>
      </c>
      <c r="E15" s="24" t="s">
        <v>19</v>
      </c>
      <c r="F15" s="24" t="s">
        <v>20</v>
      </c>
      <c r="G15" s="145" t="s">
        <v>21</v>
      </c>
      <c r="H15" s="145"/>
      <c r="I15" s="145"/>
      <c r="J15" s="145"/>
    </row>
    <row r="16" spans="1:10">
      <c r="A16" s="166" t="s">
        <v>22</v>
      </c>
      <c r="B16" s="51" t="s">
        <v>23</v>
      </c>
      <c r="C16" s="107">
        <v>112506</v>
      </c>
      <c r="D16" s="107">
        <v>80020</v>
      </c>
      <c r="E16" s="108">
        <f>(C16-D16)/D16</f>
        <v>0.40597350662334403</v>
      </c>
      <c r="F16" s="108">
        <v>0.382841450840675</v>
      </c>
      <c r="G16" s="181" t="s">
        <v>24</v>
      </c>
      <c r="H16" s="182"/>
      <c r="I16" s="182"/>
      <c r="J16" s="183"/>
    </row>
    <row r="17" spans="1:20">
      <c r="A17" s="164"/>
      <c r="B17" s="25" t="s">
        <v>25</v>
      </c>
      <c r="C17" s="109">
        <v>6604</v>
      </c>
      <c r="D17" s="109">
        <v>3856</v>
      </c>
      <c r="E17" s="108">
        <f>(C17-D17)/D17</f>
        <v>0.71265560165975095</v>
      </c>
      <c r="F17" s="108">
        <v>2.2472445392706299E-2</v>
      </c>
      <c r="G17" s="184"/>
      <c r="H17" s="185"/>
      <c r="I17" s="185"/>
      <c r="J17" s="186"/>
      <c r="M17" s="105"/>
    </row>
    <row r="18" spans="1:20" ht="34.35" customHeight="1">
      <c r="A18" s="164" t="s">
        <v>26</v>
      </c>
      <c r="B18" s="25" t="s">
        <v>27</v>
      </c>
      <c r="C18" s="109">
        <v>200839.64</v>
      </c>
      <c r="D18" s="111">
        <v>120111.16</v>
      </c>
      <c r="E18" s="108">
        <f>(C18-D18)/D18</f>
        <v>0.672114731054134</v>
      </c>
      <c r="F18" s="108">
        <v>0.387140650149215</v>
      </c>
      <c r="G18" s="146" t="s">
        <v>28</v>
      </c>
      <c r="H18" s="147"/>
      <c r="I18" s="147"/>
      <c r="J18" s="147"/>
    </row>
    <row r="19" spans="1:20" ht="45.6" customHeight="1">
      <c r="A19" s="164"/>
      <c r="B19" s="25" t="s">
        <v>29</v>
      </c>
      <c r="C19" s="109">
        <v>7253</v>
      </c>
      <c r="D19" s="111">
        <v>12994</v>
      </c>
      <c r="E19" s="108">
        <f>(C19-D19)/D19</f>
        <v>-0.44181930121594598</v>
      </c>
      <c r="F19" s="108">
        <v>2.4680897400560099E-2</v>
      </c>
      <c r="G19" s="146" t="s">
        <v>123</v>
      </c>
      <c r="H19" s="147"/>
      <c r="I19" s="147"/>
      <c r="J19" s="147"/>
    </row>
    <row r="20" spans="1:20">
      <c r="A20" s="164" t="s">
        <v>31</v>
      </c>
      <c r="B20" s="25" t="s">
        <v>32</v>
      </c>
      <c r="C20" s="109">
        <v>71810</v>
      </c>
      <c r="D20" s="111">
        <v>18812</v>
      </c>
      <c r="E20" s="108">
        <f>(C20-D20)/D20</f>
        <v>2.8172443121411899</v>
      </c>
      <c r="F20" s="108">
        <v>0.24435891938980001</v>
      </c>
      <c r="G20" s="228" t="s">
        <v>124</v>
      </c>
      <c r="H20" s="173"/>
      <c r="I20" s="173"/>
      <c r="J20" s="174"/>
    </row>
    <row r="21" spans="1:20">
      <c r="A21" s="164"/>
      <c r="B21" s="25" t="s">
        <v>34</v>
      </c>
      <c r="C21" s="109">
        <v>1861.44</v>
      </c>
      <c r="D21" s="112" t="s">
        <v>57</v>
      </c>
      <c r="E21" s="108"/>
      <c r="F21" s="108">
        <v>6.3342078667170303E-3</v>
      </c>
      <c r="G21" s="195"/>
      <c r="H21" s="176"/>
      <c r="I21" s="176"/>
      <c r="J21" s="177"/>
    </row>
    <row r="22" spans="1:20">
      <c r="A22" s="164"/>
      <c r="B22" s="167" t="s">
        <v>36</v>
      </c>
      <c r="C22" s="109"/>
      <c r="D22" s="119"/>
      <c r="E22" s="108"/>
      <c r="F22" s="108"/>
      <c r="G22" s="195"/>
      <c r="H22" s="176"/>
      <c r="I22" s="176"/>
      <c r="J22" s="177"/>
    </row>
    <row r="23" spans="1:20" ht="15.75" customHeight="1">
      <c r="A23" s="164"/>
      <c r="B23" s="166"/>
      <c r="C23" s="109">
        <v>7093</v>
      </c>
      <c r="D23" s="113">
        <v>2568</v>
      </c>
      <c r="E23" s="108">
        <f>(C23-D23)/D23</f>
        <v>1.76207165109034</v>
      </c>
      <c r="F23" s="108">
        <v>2.4136440819271E-2</v>
      </c>
      <c r="G23" s="196"/>
      <c r="H23" s="179"/>
      <c r="I23" s="179"/>
      <c r="J23" s="180"/>
    </row>
    <row r="24" spans="1:20" ht="18.75" customHeight="1">
      <c r="A24" s="167"/>
      <c r="B24" s="45" t="s">
        <v>37</v>
      </c>
      <c r="C24" s="114">
        <v>17000</v>
      </c>
      <c r="D24" s="115">
        <v>17000</v>
      </c>
      <c r="E24" s="108">
        <f>(C24-D24)/D24</f>
        <v>0</v>
      </c>
      <c r="F24" s="108">
        <v>5.7848511761963602E-2</v>
      </c>
      <c r="G24" s="151"/>
      <c r="H24" s="149"/>
      <c r="I24" s="149"/>
      <c r="J24" s="149"/>
    </row>
    <row r="25" spans="1:20">
      <c r="A25" s="187" t="s">
        <v>125</v>
      </c>
      <c r="B25" s="188"/>
      <c r="C25" s="188"/>
      <c r="D25" s="188"/>
      <c r="E25" s="188"/>
      <c r="F25" s="188"/>
      <c r="G25" s="188"/>
      <c r="H25" s="188"/>
      <c r="I25" s="188"/>
      <c r="J25" s="188"/>
    </row>
    <row r="26" spans="1:20">
      <c r="A26" s="188"/>
      <c r="B26" s="188"/>
      <c r="C26" s="188"/>
      <c r="D26" s="188"/>
      <c r="E26" s="188"/>
      <c r="F26" s="188"/>
      <c r="G26" s="188"/>
      <c r="H26" s="188"/>
      <c r="I26" s="188"/>
      <c r="J26" s="188"/>
    </row>
    <row r="29" spans="1:20" s="117" customFormat="1">
      <c r="A29" s="152" t="s">
        <v>126</v>
      </c>
      <c r="B29" s="152"/>
      <c r="C29" s="152"/>
      <c r="D29" s="152"/>
      <c r="E29" s="152"/>
      <c r="F29" s="152"/>
      <c r="G29" s="152"/>
      <c r="H29" s="152"/>
      <c r="I29" s="152"/>
      <c r="J29" s="152"/>
      <c r="K29" s="152"/>
      <c r="L29" s="202" t="s">
        <v>127</v>
      </c>
      <c r="M29" s="202"/>
      <c r="N29" s="202"/>
      <c r="O29" s="202"/>
      <c r="P29" s="202"/>
      <c r="Q29" s="118"/>
      <c r="R29" s="118"/>
      <c r="S29" s="118"/>
    </row>
    <row r="30" spans="1:20" s="118" customFormat="1">
      <c r="A30" s="32" t="s">
        <v>41</v>
      </c>
      <c r="B30" s="32" t="s">
        <v>42</v>
      </c>
      <c r="C30" s="32" t="s">
        <v>43</v>
      </c>
      <c r="D30" s="32" t="s">
        <v>17</v>
      </c>
      <c r="E30" s="32" t="s">
        <v>18</v>
      </c>
      <c r="F30" s="32" t="s">
        <v>19</v>
      </c>
      <c r="G30" s="32" t="s">
        <v>20</v>
      </c>
      <c r="H30" s="153" t="s">
        <v>21</v>
      </c>
      <c r="I30" s="153"/>
      <c r="J30" s="153"/>
      <c r="K30" s="153"/>
      <c r="L30" s="86" t="s">
        <v>128</v>
      </c>
      <c r="M30" s="86" t="s">
        <v>129</v>
      </c>
      <c r="N30" s="86" t="s">
        <v>130</v>
      </c>
      <c r="O30" s="86" t="s">
        <v>20</v>
      </c>
      <c r="P30" s="67" t="s">
        <v>131</v>
      </c>
      <c r="Q30" s="59"/>
      <c r="R30" s="59"/>
      <c r="S30" s="59"/>
    </row>
    <row r="31" spans="1:20" ht="29.1" customHeight="1">
      <c r="A31" s="212" t="s">
        <v>44</v>
      </c>
      <c r="B31" s="128" t="s">
        <v>45</v>
      </c>
      <c r="C31" s="34" t="s">
        <v>46</v>
      </c>
      <c r="D31" s="36">
        <v>100873</v>
      </c>
      <c r="E31" s="36">
        <v>25291</v>
      </c>
      <c r="F31" s="37">
        <f t="shared" ref="F31:F34" si="1">(D31-E31)/E31</f>
        <v>2.98849393064727</v>
      </c>
      <c r="G31" s="37">
        <v>0.176884836263206</v>
      </c>
      <c r="H31" s="150" t="s">
        <v>47</v>
      </c>
      <c r="I31" s="150"/>
      <c r="J31" s="150"/>
      <c r="K31" s="150"/>
      <c r="L31" s="36">
        <v>850000</v>
      </c>
      <c r="M31" s="36">
        <v>464173</v>
      </c>
      <c r="N31" s="37">
        <f>(L31-M31)/M31</f>
        <v>0.83121379313316401</v>
      </c>
      <c r="O31" s="37">
        <v>0.22666666666666699</v>
      </c>
      <c r="P31" s="170" t="s">
        <v>132</v>
      </c>
      <c r="R31" s="118"/>
      <c r="S31" s="59"/>
      <c r="T31" s="118"/>
    </row>
    <row r="32" spans="1:20" ht="30" customHeight="1">
      <c r="A32" s="213"/>
      <c r="B32" s="129" t="s">
        <v>48</v>
      </c>
      <c r="C32" s="43" t="s">
        <v>49</v>
      </c>
      <c r="D32" s="26">
        <v>7497</v>
      </c>
      <c r="E32" s="26">
        <v>10564</v>
      </c>
      <c r="F32" s="28">
        <f t="shared" si="1"/>
        <v>-0.29032563422945901</v>
      </c>
      <c r="G32" s="28">
        <v>1.31462890710622E-2</v>
      </c>
      <c r="H32" s="150"/>
      <c r="I32" s="150"/>
      <c r="J32" s="150"/>
      <c r="K32" s="150"/>
      <c r="L32" s="26">
        <v>200000</v>
      </c>
      <c r="M32" s="26">
        <v>158508</v>
      </c>
      <c r="N32" s="28">
        <f>(L32-M32)/M32</f>
        <v>0.261765967648321</v>
      </c>
      <c r="O32" s="28">
        <v>5.3333333333333302E-2</v>
      </c>
      <c r="P32" s="216"/>
      <c r="R32" s="118"/>
      <c r="S32" s="59"/>
      <c r="T32" s="118"/>
    </row>
    <row r="33" spans="1:20">
      <c r="A33" s="213"/>
      <c r="B33" s="129" t="s">
        <v>50</v>
      </c>
      <c r="C33" s="43" t="s">
        <v>51</v>
      </c>
      <c r="D33" s="26">
        <v>43406</v>
      </c>
      <c r="E33" s="26">
        <v>94198</v>
      </c>
      <c r="F33" s="28">
        <f t="shared" si="1"/>
        <v>-0.53920465402662499</v>
      </c>
      <c r="G33" s="28">
        <v>7.6114155451317306E-2</v>
      </c>
      <c r="H33" s="150" t="s">
        <v>133</v>
      </c>
      <c r="I33" s="150"/>
      <c r="J33" s="150"/>
      <c r="K33" s="150"/>
      <c r="L33" s="26">
        <v>500000</v>
      </c>
      <c r="M33" s="26">
        <v>793773</v>
      </c>
      <c r="N33" s="28">
        <f>(L33-M33)/M33</f>
        <v>-0.37009699246510003</v>
      </c>
      <c r="O33" s="28">
        <v>0.133333333333333</v>
      </c>
      <c r="P33" s="167" t="s">
        <v>134</v>
      </c>
      <c r="R33" s="118"/>
      <c r="S33" s="59"/>
      <c r="T33" s="118"/>
    </row>
    <row r="34" spans="1:20">
      <c r="A34" s="213"/>
      <c r="B34" s="129" t="s">
        <v>53</v>
      </c>
      <c r="C34" s="43" t="s">
        <v>54</v>
      </c>
      <c r="D34" s="26">
        <v>30786</v>
      </c>
      <c r="E34" s="26">
        <v>18928</v>
      </c>
      <c r="F34" s="28">
        <f t="shared" si="1"/>
        <v>0.62647928994082802</v>
      </c>
      <c r="G34" s="28">
        <v>5.3984481171364701E-2</v>
      </c>
      <c r="H34" s="150"/>
      <c r="I34" s="150"/>
      <c r="J34" s="150"/>
      <c r="K34" s="150"/>
      <c r="L34" s="26">
        <v>200000</v>
      </c>
      <c r="M34" s="26">
        <v>194284</v>
      </c>
      <c r="N34" s="28">
        <f>(L34-M34)/M34</f>
        <v>2.9420847831010299E-2</v>
      </c>
      <c r="O34" s="28">
        <v>5.3333333333333302E-2</v>
      </c>
      <c r="P34" s="213"/>
      <c r="R34" s="118"/>
      <c r="S34" s="59"/>
      <c r="T34" s="118"/>
    </row>
    <row r="35" spans="1:20" ht="31.35" customHeight="1">
      <c r="A35" s="213"/>
      <c r="B35" s="129" t="s">
        <v>55</v>
      </c>
      <c r="C35" s="43" t="s">
        <v>56</v>
      </c>
      <c r="D35" s="26">
        <v>11214</v>
      </c>
      <c r="E35" s="29" t="s">
        <v>57</v>
      </c>
      <c r="F35" s="27" t="s">
        <v>57</v>
      </c>
      <c r="G35" s="28">
        <v>1.9664197097891401E-2</v>
      </c>
      <c r="H35" s="150" t="s">
        <v>135</v>
      </c>
      <c r="I35" s="150"/>
      <c r="J35" s="150"/>
      <c r="K35" s="150"/>
      <c r="L35" s="26">
        <v>500000</v>
      </c>
      <c r="M35" s="29" t="s">
        <v>57</v>
      </c>
      <c r="N35" s="29" t="s">
        <v>57</v>
      </c>
      <c r="O35" s="28">
        <v>0.133333333333333</v>
      </c>
      <c r="P35" s="217" t="s">
        <v>136</v>
      </c>
      <c r="R35" s="118"/>
      <c r="S35" s="59"/>
      <c r="T35" s="118"/>
    </row>
    <row r="36" spans="1:20">
      <c r="A36" s="213"/>
      <c r="B36" s="130" t="s">
        <v>137</v>
      </c>
      <c r="C36" s="43" t="s">
        <v>138</v>
      </c>
      <c r="D36" s="26">
        <v>4067</v>
      </c>
      <c r="E36" s="29" t="s">
        <v>57</v>
      </c>
      <c r="F36" s="27" t="s">
        <v>57</v>
      </c>
      <c r="G36" s="28"/>
      <c r="H36" s="203"/>
      <c r="I36" s="204"/>
      <c r="J36" s="204"/>
      <c r="K36" s="205"/>
      <c r="L36" s="26">
        <v>100000</v>
      </c>
      <c r="M36" s="29" t="s">
        <v>57</v>
      </c>
      <c r="N36" s="29" t="s">
        <v>57</v>
      </c>
      <c r="O36" s="28">
        <v>2.66666666666667E-2</v>
      </c>
      <c r="P36" s="217"/>
      <c r="R36" s="118"/>
      <c r="S36" s="59"/>
      <c r="T36" s="118"/>
    </row>
    <row r="37" spans="1:20">
      <c r="A37" s="168"/>
      <c r="B37" s="42"/>
      <c r="C37" s="43" t="s">
        <v>139</v>
      </c>
      <c r="D37" s="26"/>
      <c r="E37" s="26"/>
      <c r="F37" s="28"/>
      <c r="G37" s="28"/>
      <c r="H37" s="203"/>
      <c r="I37" s="204"/>
      <c r="J37" s="204"/>
      <c r="K37" s="205"/>
      <c r="L37" s="26">
        <v>160000</v>
      </c>
      <c r="M37" s="29" t="s">
        <v>57</v>
      </c>
      <c r="N37" s="29" t="s">
        <v>57</v>
      </c>
      <c r="O37" s="28">
        <v>4.26666666666667E-2</v>
      </c>
      <c r="P37" s="217"/>
      <c r="R37" s="118"/>
      <c r="S37" s="59"/>
      <c r="T37" s="118"/>
    </row>
    <row r="38" spans="1:20">
      <c r="A38" s="165" t="s">
        <v>59</v>
      </c>
      <c r="B38" s="129" t="s">
        <v>60</v>
      </c>
      <c r="C38" s="43" t="s">
        <v>61</v>
      </c>
      <c r="D38" s="26">
        <v>7435</v>
      </c>
      <c r="E38" s="26">
        <v>5078</v>
      </c>
      <c r="F38" s="28">
        <f t="shared" ref="F38:F45" si="2">(D38-E38)/E38</f>
        <v>0.46415911776289898</v>
      </c>
      <c r="G38" s="28">
        <v>1.3037569593617101E-2</v>
      </c>
      <c r="H38" s="150" t="s">
        <v>62</v>
      </c>
      <c r="I38" s="161"/>
      <c r="J38" s="161"/>
      <c r="K38" s="161"/>
      <c r="L38" s="26">
        <v>70000</v>
      </c>
      <c r="M38" s="26">
        <v>52119</v>
      </c>
      <c r="N38" s="28">
        <f t="shared" ref="N38:N45" si="3">(L38-M38)/M38</f>
        <v>0.34308025863888397</v>
      </c>
      <c r="O38" s="28">
        <v>1.8666666666666699E-2</v>
      </c>
      <c r="P38" s="170" t="s">
        <v>140</v>
      </c>
      <c r="R38" s="118"/>
      <c r="S38" s="59"/>
      <c r="T38" s="118"/>
    </row>
    <row r="39" spans="1:20">
      <c r="A39" s="165"/>
      <c r="B39" s="129" t="s">
        <v>63</v>
      </c>
      <c r="C39" s="43" t="s">
        <v>64</v>
      </c>
      <c r="D39" s="26">
        <v>1307</v>
      </c>
      <c r="E39" s="26">
        <v>1172</v>
      </c>
      <c r="F39" s="28">
        <f t="shared" si="2"/>
        <v>0.11518771331058</v>
      </c>
      <c r="G39" s="28">
        <v>2.2918767261409E-3</v>
      </c>
      <c r="H39" s="161"/>
      <c r="I39" s="161"/>
      <c r="J39" s="161"/>
      <c r="K39" s="161"/>
      <c r="L39" s="26">
        <v>20000</v>
      </c>
      <c r="M39" s="26">
        <v>18609</v>
      </c>
      <c r="N39" s="28">
        <f t="shared" si="3"/>
        <v>7.4748777473265596E-2</v>
      </c>
      <c r="O39" s="28">
        <v>5.3333333333333297E-3</v>
      </c>
      <c r="P39" s="218"/>
      <c r="R39" s="118"/>
      <c r="S39" s="59"/>
      <c r="T39" s="118"/>
    </row>
    <row r="40" spans="1:20">
      <c r="A40" s="165"/>
      <c r="B40" s="129" t="s">
        <v>65</v>
      </c>
      <c r="C40" s="43" t="s">
        <v>66</v>
      </c>
      <c r="D40" s="26">
        <v>8230</v>
      </c>
      <c r="E40" s="26">
        <v>11064</v>
      </c>
      <c r="F40" s="28">
        <f t="shared" si="2"/>
        <v>-0.256146059291396</v>
      </c>
      <c r="G40" s="28">
        <v>1.4431633860856601E-2</v>
      </c>
      <c r="H40" s="161"/>
      <c r="I40" s="161"/>
      <c r="J40" s="161"/>
      <c r="K40" s="161"/>
      <c r="L40" s="26">
        <v>80000</v>
      </c>
      <c r="M40" s="26">
        <v>90139</v>
      </c>
      <c r="N40" s="28">
        <f t="shared" si="3"/>
        <v>-0.112481833612532</v>
      </c>
      <c r="O40" s="28">
        <v>2.1333333333333301E-2</v>
      </c>
      <c r="P40" s="218"/>
      <c r="R40" s="118"/>
      <c r="S40" s="59"/>
      <c r="T40" s="118"/>
    </row>
    <row r="41" spans="1:20">
      <c r="A41" s="165"/>
      <c r="B41" s="129" t="s">
        <v>67</v>
      </c>
      <c r="C41" s="43" t="s">
        <v>68</v>
      </c>
      <c r="D41" s="26">
        <v>5365</v>
      </c>
      <c r="E41" s="26">
        <v>1180</v>
      </c>
      <c r="F41" s="28">
        <f t="shared" si="2"/>
        <v>3.54661016949153</v>
      </c>
      <c r="G41" s="28">
        <v>9.4077418789180692E-3</v>
      </c>
      <c r="H41" s="161"/>
      <c r="I41" s="161"/>
      <c r="J41" s="161"/>
      <c r="K41" s="161"/>
      <c r="L41" s="26">
        <v>55000</v>
      </c>
      <c r="M41" s="26">
        <v>33055</v>
      </c>
      <c r="N41" s="28">
        <f t="shared" si="3"/>
        <v>0.66389351081530801</v>
      </c>
      <c r="O41" s="28">
        <v>1.4666666666666699E-2</v>
      </c>
      <c r="P41" s="218"/>
      <c r="R41" s="118"/>
      <c r="S41" s="59"/>
      <c r="T41" s="118"/>
    </row>
    <row r="42" spans="1:20">
      <c r="A42" s="165"/>
      <c r="B42" s="129" t="s">
        <v>69</v>
      </c>
      <c r="C42" s="43" t="s">
        <v>70</v>
      </c>
      <c r="D42" s="26">
        <v>9427</v>
      </c>
      <c r="E42" s="26">
        <v>5700</v>
      </c>
      <c r="F42" s="28">
        <f t="shared" si="2"/>
        <v>0.65385964912280703</v>
      </c>
      <c r="G42" s="28">
        <v>1.6530621191530401E-2</v>
      </c>
      <c r="H42" s="150" t="s">
        <v>141</v>
      </c>
      <c r="I42" s="161"/>
      <c r="J42" s="161"/>
      <c r="K42" s="161"/>
      <c r="L42" s="26">
        <v>57897</v>
      </c>
      <c r="M42" s="26">
        <v>72592</v>
      </c>
      <c r="N42" s="28">
        <f t="shared" si="3"/>
        <v>-0.202432774961428</v>
      </c>
      <c r="O42" s="28">
        <v>1.54392E-2</v>
      </c>
      <c r="P42" s="218"/>
      <c r="R42" s="118"/>
      <c r="S42" s="59"/>
      <c r="T42" s="118"/>
    </row>
    <row r="43" spans="1:20" ht="33.75" customHeight="1">
      <c r="A43" s="165"/>
      <c r="B43" s="129" t="s">
        <v>72</v>
      </c>
      <c r="C43" s="43" t="s">
        <v>73</v>
      </c>
      <c r="D43" s="26">
        <v>3733</v>
      </c>
      <c r="E43" s="26">
        <v>920</v>
      </c>
      <c r="F43" s="28">
        <f t="shared" si="2"/>
        <v>3.0576086956521702</v>
      </c>
      <c r="G43" s="28">
        <v>6.5459646661698298E-3</v>
      </c>
      <c r="H43" s="161"/>
      <c r="I43" s="161"/>
      <c r="J43" s="161"/>
      <c r="K43" s="161"/>
      <c r="L43" s="26">
        <v>35000</v>
      </c>
      <c r="M43" s="26">
        <v>23069</v>
      </c>
      <c r="N43" s="28">
        <f t="shared" si="3"/>
        <v>0.51718756773158803</v>
      </c>
      <c r="O43" s="28">
        <v>9.3333333333333306E-3</v>
      </c>
      <c r="P43" s="216"/>
      <c r="R43" s="118"/>
      <c r="S43" s="59"/>
      <c r="T43" s="118"/>
    </row>
    <row r="44" spans="1:20">
      <c r="A44" s="167" t="s">
        <v>74</v>
      </c>
      <c r="B44" s="48">
        <v>100127194542</v>
      </c>
      <c r="C44" s="43" t="s">
        <v>75</v>
      </c>
      <c r="D44" s="26">
        <v>4630</v>
      </c>
      <c r="E44" s="26">
        <v>2343</v>
      </c>
      <c r="F44" s="28">
        <f t="shared" si="2"/>
        <v>0.97609901835253898</v>
      </c>
      <c r="G44" s="28">
        <v>8.1188900092060805E-3</v>
      </c>
      <c r="H44" s="150" t="s">
        <v>142</v>
      </c>
      <c r="I44" s="161"/>
      <c r="J44" s="161"/>
      <c r="K44" s="161"/>
      <c r="L44" s="26">
        <v>45000</v>
      </c>
      <c r="M44" s="26">
        <v>23819</v>
      </c>
      <c r="N44" s="28">
        <f t="shared" si="3"/>
        <v>0.88924807926445304</v>
      </c>
      <c r="O44" s="28">
        <v>1.2E-2</v>
      </c>
      <c r="P44" s="167" t="s">
        <v>143</v>
      </c>
      <c r="R44" s="118"/>
      <c r="S44" s="59"/>
      <c r="T44" s="118"/>
    </row>
    <row r="45" spans="1:20">
      <c r="A45" s="169"/>
      <c r="B45" s="48">
        <v>100150693764</v>
      </c>
      <c r="C45" s="49" t="s">
        <v>77</v>
      </c>
      <c r="D45" s="26">
        <v>1760</v>
      </c>
      <c r="E45" s="26">
        <v>2802</v>
      </c>
      <c r="F45" s="28">
        <f t="shared" si="2"/>
        <v>-0.37187723054960697</v>
      </c>
      <c r="G45" s="28">
        <v>3.08623032747359E-3</v>
      </c>
      <c r="H45" s="161"/>
      <c r="I45" s="161"/>
      <c r="J45" s="161"/>
      <c r="K45" s="161"/>
      <c r="L45" s="26">
        <v>16000</v>
      </c>
      <c r="M45" s="26">
        <v>36519</v>
      </c>
      <c r="N45" s="28">
        <f t="shared" si="3"/>
        <v>-0.561871902297434</v>
      </c>
      <c r="O45" s="28">
        <v>4.2666666666666703E-3</v>
      </c>
      <c r="P45" s="168"/>
      <c r="R45" s="118"/>
      <c r="S45" s="59"/>
      <c r="T45" s="118"/>
    </row>
    <row r="46" spans="1:20">
      <c r="A46" s="166"/>
      <c r="B46" s="48"/>
      <c r="C46" s="93" t="s">
        <v>144</v>
      </c>
      <c r="D46" s="26"/>
      <c r="E46" s="26"/>
      <c r="F46" s="28"/>
      <c r="G46" s="28"/>
      <c r="H46" s="206"/>
      <c r="I46" s="207"/>
      <c r="J46" s="207"/>
      <c r="K46" s="208"/>
      <c r="L46" s="26">
        <v>10000</v>
      </c>
      <c r="M46" s="29" t="s">
        <v>57</v>
      </c>
      <c r="N46" s="27" t="s">
        <v>57</v>
      </c>
      <c r="O46" s="27">
        <v>2.66666666666667E-3</v>
      </c>
      <c r="P46" s="47" t="s">
        <v>145</v>
      </c>
      <c r="R46" s="118"/>
      <c r="S46" s="59"/>
      <c r="T46" s="118"/>
    </row>
    <row r="47" spans="1:20">
      <c r="A47" s="164" t="s">
        <v>78</v>
      </c>
      <c r="B47" s="129" t="s">
        <v>79</v>
      </c>
      <c r="C47" s="43" t="s">
        <v>80</v>
      </c>
      <c r="D47" s="26">
        <v>2818</v>
      </c>
      <c r="E47" s="26"/>
      <c r="F47" s="28"/>
      <c r="G47" s="28">
        <v>4.9414756038753203E-3</v>
      </c>
      <c r="H47" s="197" t="s">
        <v>146</v>
      </c>
      <c r="I47" s="229"/>
      <c r="J47" s="229"/>
      <c r="K47" s="198"/>
      <c r="L47" s="26">
        <v>25000</v>
      </c>
      <c r="M47" s="26"/>
      <c r="N47" s="28"/>
      <c r="O47" s="28">
        <v>6.6666666666666697E-3</v>
      </c>
      <c r="P47" s="212"/>
      <c r="R47" s="118"/>
      <c r="S47" s="59"/>
      <c r="T47" s="118"/>
    </row>
    <row r="48" spans="1:20">
      <c r="A48" s="164"/>
      <c r="B48" s="129" t="s">
        <v>82</v>
      </c>
      <c r="C48" s="49" t="s">
        <v>83</v>
      </c>
      <c r="D48" s="26">
        <v>1744</v>
      </c>
      <c r="E48" s="26"/>
      <c r="F48" s="28"/>
      <c r="G48" s="28">
        <v>3.05817368813292E-3</v>
      </c>
      <c r="H48" s="199"/>
      <c r="I48" s="230"/>
      <c r="J48" s="230"/>
      <c r="K48" s="200"/>
      <c r="L48" s="26">
        <v>20083</v>
      </c>
      <c r="M48" s="26"/>
      <c r="N48" s="28"/>
      <c r="O48" s="28">
        <v>5.3554666666666704E-3</v>
      </c>
      <c r="P48" s="168"/>
      <c r="R48" s="118"/>
      <c r="S48" s="59"/>
      <c r="T48" s="118"/>
    </row>
    <row r="49" spans="1:20">
      <c r="A49" s="164"/>
      <c r="B49" s="48">
        <v>100230489825</v>
      </c>
      <c r="C49" s="43" t="s">
        <v>84</v>
      </c>
      <c r="D49" s="26">
        <v>76725</v>
      </c>
      <c r="E49" s="26"/>
      <c r="F49" s="28"/>
      <c r="G49" s="28">
        <v>0.134540353338302</v>
      </c>
      <c r="H49" s="197" t="s">
        <v>147</v>
      </c>
      <c r="I49" s="229"/>
      <c r="J49" s="229"/>
      <c r="K49" s="198"/>
      <c r="L49" s="26">
        <v>100000</v>
      </c>
      <c r="M49" s="26"/>
      <c r="N49" s="28"/>
      <c r="O49" s="103">
        <v>2.66666666666667E-2</v>
      </c>
      <c r="P49" s="187" t="s">
        <v>148</v>
      </c>
      <c r="R49" s="118"/>
      <c r="S49" s="59"/>
      <c r="T49" s="118"/>
    </row>
    <row r="50" spans="1:20">
      <c r="A50" s="164"/>
      <c r="B50" s="48">
        <v>100307579062</v>
      </c>
      <c r="C50" s="49" t="s">
        <v>85</v>
      </c>
      <c r="D50" s="26">
        <v>29283</v>
      </c>
      <c r="E50" s="26"/>
      <c r="F50" s="28"/>
      <c r="G50" s="28">
        <v>5.1348910613300602E-2</v>
      </c>
      <c r="H50" s="199"/>
      <c r="I50" s="230"/>
      <c r="J50" s="230"/>
      <c r="K50" s="200"/>
      <c r="L50" s="26">
        <v>60000</v>
      </c>
      <c r="M50" s="26"/>
      <c r="N50" s="28"/>
      <c r="O50" s="103">
        <v>1.6E-2</v>
      </c>
      <c r="P50" s="188"/>
    </row>
    <row r="53" spans="1:20">
      <c r="A53" s="209" t="s">
        <v>149</v>
      </c>
      <c r="B53" s="156"/>
      <c r="C53" s="156"/>
      <c r="D53" s="156"/>
      <c r="E53" s="156"/>
      <c r="F53" s="156"/>
      <c r="G53" s="156"/>
      <c r="H53" s="156"/>
      <c r="I53" s="156"/>
      <c r="J53" s="156"/>
      <c r="K53" s="210" t="s">
        <v>150</v>
      </c>
      <c r="L53" s="210"/>
      <c r="M53" s="210"/>
      <c r="N53" s="210"/>
      <c r="O53" s="210"/>
      <c r="P53" s="210"/>
    </row>
    <row r="54" spans="1:20">
      <c r="A54" s="158" t="s">
        <v>87</v>
      </c>
      <c r="B54" s="159"/>
      <c r="C54" s="120" t="s">
        <v>17</v>
      </c>
      <c r="D54" s="120" t="s">
        <v>18</v>
      </c>
      <c r="E54" s="120" t="s">
        <v>19</v>
      </c>
      <c r="F54" s="120" t="s">
        <v>20</v>
      </c>
      <c r="G54" s="160" t="s">
        <v>21</v>
      </c>
      <c r="H54" s="160"/>
      <c r="I54" s="160"/>
      <c r="J54" s="158"/>
      <c r="K54" s="101" t="s">
        <v>151</v>
      </c>
      <c r="L54" s="101" t="s">
        <v>152</v>
      </c>
      <c r="M54" s="101" t="s">
        <v>153</v>
      </c>
      <c r="N54" s="101" t="s">
        <v>154</v>
      </c>
      <c r="O54" s="211" t="s">
        <v>155</v>
      </c>
      <c r="P54" s="211"/>
    </row>
    <row r="55" spans="1:20" ht="48" customHeight="1">
      <c r="A55" s="167" t="s">
        <v>88</v>
      </c>
      <c r="B55" s="42" t="s">
        <v>89</v>
      </c>
      <c r="C55" s="26">
        <v>172407.64</v>
      </c>
      <c r="D55" s="26">
        <v>152804.51999999999</v>
      </c>
      <c r="E55" s="28">
        <f t="shared" ref="E55:E58" si="4">(C55-D55)/D55</f>
        <v>0.12828887522437199</v>
      </c>
      <c r="F55" s="28">
        <v>0.58667796414072804</v>
      </c>
      <c r="G55" s="189" t="s">
        <v>90</v>
      </c>
      <c r="H55" s="190"/>
      <c r="I55" s="190"/>
      <c r="J55" s="191"/>
      <c r="K55" s="116">
        <v>2440000</v>
      </c>
      <c r="L55" s="25" t="s">
        <v>156</v>
      </c>
      <c r="M55" s="25" t="s">
        <v>157</v>
      </c>
      <c r="N55" s="51" t="s">
        <v>158</v>
      </c>
      <c r="O55" s="187" t="s">
        <v>159</v>
      </c>
      <c r="P55" s="187"/>
    </row>
    <row r="56" spans="1:20" ht="47.25" customHeight="1">
      <c r="A56" s="168"/>
      <c r="B56" s="42" t="s">
        <v>91</v>
      </c>
      <c r="C56" s="26">
        <v>121739.82</v>
      </c>
      <c r="D56" s="26">
        <v>65617.740000000005</v>
      </c>
      <c r="E56" s="28">
        <f t="shared" si="4"/>
        <v>0.85528821931386201</v>
      </c>
      <c r="F56" s="28">
        <v>0.41426278877466599</v>
      </c>
      <c r="G56" s="192"/>
      <c r="H56" s="193"/>
      <c r="I56" s="193"/>
      <c r="J56" s="194"/>
      <c r="K56" s="26">
        <v>1310000</v>
      </c>
      <c r="L56" s="79" t="s">
        <v>160</v>
      </c>
      <c r="M56" s="25" t="s">
        <v>161</v>
      </c>
      <c r="N56" s="25" t="s">
        <v>162</v>
      </c>
      <c r="O56" s="187" t="s">
        <v>163</v>
      </c>
      <c r="P56" s="188"/>
    </row>
    <row r="57" spans="1:20" ht="53.25" customHeight="1">
      <c r="A57" s="167" t="s">
        <v>92</v>
      </c>
      <c r="B57" s="42" t="s">
        <v>97</v>
      </c>
      <c r="C57" s="26">
        <v>95932</v>
      </c>
      <c r="D57" s="26">
        <v>58629</v>
      </c>
      <c r="E57" s="28">
        <f t="shared" si="4"/>
        <v>0.63625509560115301</v>
      </c>
      <c r="F57" s="28">
        <v>0.326442554726394</v>
      </c>
      <c r="G57" s="150" t="s">
        <v>164</v>
      </c>
      <c r="H57" s="161"/>
      <c r="I57" s="161"/>
      <c r="J57" s="161"/>
      <c r="K57" s="26">
        <v>1200000</v>
      </c>
      <c r="L57" s="25" t="s">
        <v>165</v>
      </c>
      <c r="M57" s="25" t="s">
        <v>157</v>
      </c>
      <c r="N57" s="25" t="s">
        <v>166</v>
      </c>
      <c r="O57" s="203" t="s">
        <v>167</v>
      </c>
      <c r="P57" s="208"/>
    </row>
    <row r="58" spans="1:20" ht="45" customHeight="1">
      <c r="A58" s="168"/>
      <c r="B58" s="42" t="s">
        <v>95</v>
      </c>
      <c r="C58" s="26">
        <v>115425</v>
      </c>
      <c r="D58" s="26">
        <v>72308</v>
      </c>
      <c r="E58" s="28">
        <f t="shared" si="4"/>
        <v>0.59629639873872897</v>
      </c>
      <c r="F58" s="28">
        <v>0.39277438059556702</v>
      </c>
      <c r="G58" s="150" t="s">
        <v>96</v>
      </c>
      <c r="H58" s="161"/>
      <c r="I58" s="161"/>
      <c r="J58" s="161"/>
      <c r="K58" s="26">
        <v>1500000</v>
      </c>
      <c r="L58" s="79" t="s">
        <v>168</v>
      </c>
      <c r="M58" s="25" t="s">
        <v>157</v>
      </c>
      <c r="N58" s="43" t="s">
        <v>169</v>
      </c>
      <c r="O58" s="203" t="s">
        <v>170</v>
      </c>
      <c r="P58" s="208"/>
    </row>
    <row r="61" spans="1:20" ht="28.5">
      <c r="A61" s="214" t="s">
        <v>36</v>
      </c>
      <c r="B61" s="94" t="s">
        <v>111</v>
      </c>
      <c r="C61" s="94" t="s">
        <v>113</v>
      </c>
      <c r="D61" s="82" t="s">
        <v>171</v>
      </c>
      <c r="E61" s="94" t="s">
        <v>172</v>
      </c>
      <c r="F61" s="82" t="s">
        <v>173</v>
      </c>
    </row>
    <row r="62" spans="1:20">
      <c r="A62" s="215"/>
      <c r="B62" s="52">
        <v>637</v>
      </c>
      <c r="C62" s="52">
        <v>11622</v>
      </c>
      <c r="D62" s="52">
        <v>29</v>
      </c>
      <c r="E62" s="121">
        <v>1108</v>
      </c>
      <c r="F62" s="52">
        <v>4</v>
      </c>
    </row>
    <row r="63" spans="1:20" ht="28.5">
      <c r="A63" s="215"/>
      <c r="C63" s="82" t="s">
        <v>174</v>
      </c>
      <c r="D63" s="122" t="s">
        <v>175</v>
      </c>
      <c r="E63" s="122" t="s">
        <v>176</v>
      </c>
    </row>
    <row r="64" spans="1:20">
      <c r="B64" s="22" t="s">
        <v>177</v>
      </c>
      <c r="C64" s="52">
        <v>146</v>
      </c>
      <c r="D64" s="53">
        <v>146</v>
      </c>
      <c r="E64" s="123">
        <v>4309.82</v>
      </c>
    </row>
    <row r="65" spans="2:5">
      <c r="B65" s="22" t="s">
        <v>178</v>
      </c>
      <c r="C65" s="53">
        <v>451</v>
      </c>
      <c r="D65" s="52">
        <v>269</v>
      </c>
      <c r="E65" s="53">
        <v>8488.33</v>
      </c>
    </row>
    <row r="109" spans="4:4">
      <c r="D109" s="124"/>
    </row>
    <row r="110" spans="4:4">
      <c r="D110" s="124"/>
    </row>
    <row r="111" spans="4:4">
      <c r="D111" s="124"/>
    </row>
    <row r="112" spans="4:4">
      <c r="D112" s="124"/>
    </row>
    <row r="113" spans="4:4">
      <c r="D113" s="124"/>
    </row>
    <row r="114" spans="4:4">
      <c r="D114" s="124"/>
    </row>
    <row r="115" spans="4:4">
      <c r="D115" s="124"/>
    </row>
    <row r="116" spans="4:4">
      <c r="D116" s="124"/>
    </row>
    <row r="117" spans="4:4">
      <c r="D117" s="124"/>
    </row>
    <row r="118" spans="4:4">
      <c r="D118" s="124"/>
    </row>
    <row r="119" spans="4:4">
      <c r="D119" s="124"/>
    </row>
    <row r="120" spans="4:4">
      <c r="D120" s="124"/>
    </row>
    <row r="121" spans="4:4">
      <c r="D121" s="124"/>
    </row>
    <row r="122" spans="4:4">
      <c r="D122" s="124"/>
    </row>
    <row r="123" spans="4:4">
      <c r="D123" s="124"/>
    </row>
    <row r="124" spans="4:4">
      <c r="D124" s="124"/>
    </row>
    <row r="125" spans="4:4">
      <c r="D125" s="124"/>
    </row>
    <row r="126" spans="4:4">
      <c r="D126" s="124"/>
    </row>
    <row r="127" spans="4:4">
      <c r="D127" s="124"/>
    </row>
    <row r="128" spans="4:4">
      <c r="D128" s="124"/>
    </row>
  </sheetData>
  <sheetProtection formatCells="0" formatColumns="0" formatRows="0" insertColumns="0" insertRows="0" insertHyperlinks="0" deleteColumns="0" deleteRows="0" sort="0" autoFilter="0" pivotTables="0"/>
  <mergeCells count="56">
    <mergeCell ref="P47:P48"/>
    <mergeCell ref="P49:P50"/>
    <mergeCell ref="H3:J8"/>
    <mergeCell ref="G16:J17"/>
    <mergeCell ref="G20:J23"/>
    <mergeCell ref="A25:J26"/>
    <mergeCell ref="H31:K32"/>
    <mergeCell ref="H33:K34"/>
    <mergeCell ref="H42:K43"/>
    <mergeCell ref="H38:K41"/>
    <mergeCell ref="H44:K45"/>
    <mergeCell ref="H47:K48"/>
    <mergeCell ref="H49:K50"/>
    <mergeCell ref="P31:P32"/>
    <mergeCell ref="P33:P34"/>
    <mergeCell ref="P35:P37"/>
    <mergeCell ref="P38:P43"/>
    <mergeCell ref="P44:P45"/>
    <mergeCell ref="A44:A46"/>
    <mergeCell ref="A47:A50"/>
    <mergeCell ref="A55:A56"/>
    <mergeCell ref="A57:A58"/>
    <mergeCell ref="A61:A63"/>
    <mergeCell ref="A16:A17"/>
    <mergeCell ref="A18:A19"/>
    <mergeCell ref="A20:A24"/>
    <mergeCell ref="A31:A37"/>
    <mergeCell ref="A38:A43"/>
    <mergeCell ref="O55:P55"/>
    <mergeCell ref="O56:P56"/>
    <mergeCell ref="G57:J57"/>
    <mergeCell ref="O57:P57"/>
    <mergeCell ref="G58:J58"/>
    <mergeCell ref="O58:P58"/>
    <mergeCell ref="G55:J56"/>
    <mergeCell ref="A53:J53"/>
    <mergeCell ref="K53:P53"/>
    <mergeCell ref="A54:B54"/>
    <mergeCell ref="G54:J54"/>
    <mergeCell ref="O54:P54"/>
    <mergeCell ref="H30:K30"/>
    <mergeCell ref="H35:K35"/>
    <mergeCell ref="H36:K36"/>
    <mergeCell ref="H37:K37"/>
    <mergeCell ref="H46:K46"/>
    <mergeCell ref="G18:J18"/>
    <mergeCell ref="G19:J19"/>
    <mergeCell ref="G24:J24"/>
    <mergeCell ref="A29:K29"/>
    <mergeCell ref="L29:P29"/>
    <mergeCell ref="B22:B23"/>
    <mergeCell ref="A1:J1"/>
    <mergeCell ref="H2:J2"/>
    <mergeCell ref="A14:J14"/>
    <mergeCell ref="A15:B15"/>
    <mergeCell ref="G15:J15"/>
  </mergeCells>
  <phoneticPr fontId="15" type="noConversion"/>
  <pageMargins left="0.75" right="0.75" top="1" bottom="1" header="0.5" footer="0.5"/>
  <ignoredErrors>
    <ignoredError sqref="D3:D4" evalError="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73"/>
  <sheetViews>
    <sheetView topLeftCell="K66" workbookViewId="0">
      <selection activeCell="K60" sqref="K60:O66"/>
    </sheetView>
  </sheetViews>
  <sheetFormatPr defaultColWidth="9" defaultRowHeight="13.5"/>
  <cols>
    <col min="2" max="2" width="14.125" customWidth="1"/>
    <col min="3" max="3" width="23.125" customWidth="1"/>
    <col min="4" max="4" width="11.375" customWidth="1"/>
    <col min="5" max="5" width="14.625" customWidth="1"/>
    <col min="6" max="6" width="12.25" customWidth="1"/>
    <col min="7" max="7" width="15.125" customWidth="1"/>
    <col min="8" max="8" width="14.375" customWidth="1"/>
    <col min="9" max="9" width="12.75" customWidth="1"/>
    <col min="10" max="10" width="17.125" customWidth="1"/>
    <col min="11" max="11" width="9.25"/>
    <col min="13" max="13" width="10.875" customWidth="1"/>
    <col min="14" max="14" width="16" customWidth="1"/>
    <col min="15" max="15" width="16.25" customWidth="1"/>
    <col min="16" max="16" width="83.625" customWidth="1"/>
  </cols>
  <sheetData>
    <row r="1" spans="1:16" ht="14.25">
      <c r="A1" s="136" t="s">
        <v>179</v>
      </c>
      <c r="B1" s="137"/>
      <c r="C1" s="137"/>
      <c r="D1" s="138"/>
      <c r="E1" s="137"/>
      <c r="F1" s="137"/>
      <c r="G1" s="137"/>
      <c r="H1" s="137"/>
      <c r="I1" s="137"/>
      <c r="J1" s="139"/>
      <c r="K1" s="53"/>
      <c r="L1" s="53"/>
      <c r="M1" s="53"/>
      <c r="N1" s="53"/>
      <c r="O1" s="53"/>
      <c r="P1" s="53"/>
    </row>
    <row r="2" spans="1:16" ht="14.25">
      <c r="A2" s="3" t="s">
        <v>1</v>
      </c>
      <c r="B2" s="4" t="s">
        <v>2</v>
      </c>
      <c r="C2" s="4" t="s">
        <v>3</v>
      </c>
      <c r="D2" s="4" t="s">
        <v>4</v>
      </c>
      <c r="E2" s="4" t="s">
        <v>5</v>
      </c>
      <c r="F2" s="4" t="s">
        <v>6</v>
      </c>
      <c r="G2" s="4" t="s">
        <v>7</v>
      </c>
      <c r="H2" s="140" t="s">
        <v>8</v>
      </c>
      <c r="I2" s="140"/>
      <c r="J2" s="140"/>
      <c r="K2" s="53"/>
      <c r="L2" s="53"/>
      <c r="M2" s="53"/>
      <c r="N2" s="53"/>
      <c r="O2" s="53"/>
      <c r="P2" s="53"/>
    </row>
    <row r="3" spans="1:16" ht="14.25">
      <c r="A3" s="5" t="s">
        <v>9</v>
      </c>
      <c r="B3" s="5">
        <v>575.82000000000005</v>
      </c>
      <c r="C3" s="5">
        <v>552.42999999999995</v>
      </c>
      <c r="D3" s="7">
        <f t="shared" ref="D3:D8" si="0">(C3-B3)/B3</f>
        <v>-4.0620332742871197E-2</v>
      </c>
      <c r="E3" s="7">
        <f>B3/(B3+B4+B5)</f>
        <v>0.32643227247474499</v>
      </c>
      <c r="F3" s="7">
        <f>C3/(C3+C4+C5)</f>
        <v>0.13254937339990799</v>
      </c>
      <c r="G3" s="7">
        <f>F3-E3</f>
        <v>-0.193882899074836</v>
      </c>
      <c r="H3" s="219" t="s">
        <v>180</v>
      </c>
      <c r="I3" s="220"/>
      <c r="J3" s="221"/>
      <c r="K3" s="53"/>
      <c r="L3" s="53"/>
      <c r="M3" s="53"/>
      <c r="N3" s="53"/>
      <c r="O3" s="53"/>
      <c r="P3" s="53"/>
    </row>
    <row r="4" spans="1:16" ht="14.25">
      <c r="A4" s="8" t="s">
        <v>11</v>
      </c>
      <c r="B4" s="5">
        <v>1026.46</v>
      </c>
      <c r="C4" s="5">
        <v>3408.6</v>
      </c>
      <c r="D4" s="7">
        <f t="shared" si="0"/>
        <v>2.3207333943845798</v>
      </c>
      <c r="E4" s="7">
        <f>B4/(B4+B5+B3)</f>
        <v>0.581900021542194</v>
      </c>
      <c r="F4" s="7">
        <f>C4/(C3+C4+C5)</f>
        <v>0.81785528333169399</v>
      </c>
      <c r="G4" s="7">
        <f>F4-E4</f>
        <v>0.23595526178949899</v>
      </c>
      <c r="H4" s="222"/>
      <c r="I4" s="223"/>
      <c r="J4" s="224"/>
      <c r="K4" s="53"/>
      <c r="L4" s="53"/>
      <c r="M4" s="53"/>
      <c r="N4" s="53"/>
      <c r="O4" s="53"/>
      <c r="P4" s="53"/>
    </row>
    <row r="5" spans="1:16" ht="14.25">
      <c r="A5" s="8" t="s">
        <v>12</v>
      </c>
      <c r="B5" s="12">
        <v>161.69999999999999</v>
      </c>
      <c r="C5" s="12">
        <v>206.7</v>
      </c>
      <c r="D5" s="7">
        <f t="shared" si="0"/>
        <v>0.27829313543599299</v>
      </c>
      <c r="E5" s="7">
        <f>B5/(B5+B4+B3)</f>
        <v>9.1667705983060996E-2</v>
      </c>
      <c r="F5" s="7">
        <f>C5/(C3+C4+C5)</f>
        <v>4.9595343268397901E-2</v>
      </c>
      <c r="G5" s="7">
        <f>F5-E5</f>
        <v>-4.2072362714663102E-2</v>
      </c>
      <c r="H5" s="222"/>
      <c r="I5" s="223"/>
      <c r="J5" s="224"/>
      <c r="K5" s="53"/>
      <c r="L5" s="53"/>
      <c r="M5" s="53"/>
      <c r="N5" s="53"/>
      <c r="O5" s="53"/>
      <c r="P5" s="53"/>
    </row>
    <row r="6" spans="1:16" ht="14.25">
      <c r="A6" s="8" t="s">
        <v>13</v>
      </c>
      <c r="B6" s="104">
        <v>125.8</v>
      </c>
      <c r="C6" s="104">
        <v>182.3</v>
      </c>
      <c r="D6" s="7">
        <f t="shared" si="0"/>
        <v>0.44912559618442</v>
      </c>
      <c r="E6" s="9"/>
      <c r="F6" s="9"/>
      <c r="G6" s="9"/>
      <c r="H6" s="222"/>
      <c r="I6" s="223"/>
      <c r="J6" s="224"/>
      <c r="K6" s="53"/>
      <c r="L6" s="53"/>
      <c r="M6" s="53"/>
      <c r="N6" s="53"/>
      <c r="O6" s="53"/>
      <c r="P6" s="53"/>
    </row>
    <row r="7" spans="1:16" ht="14.25">
      <c r="A7" s="8" t="s">
        <v>14</v>
      </c>
      <c r="B7" s="12">
        <v>115.3</v>
      </c>
      <c r="C7" s="14">
        <v>173.16</v>
      </c>
      <c r="D7" s="7">
        <f t="shared" si="0"/>
        <v>0.50182133564614095</v>
      </c>
      <c r="E7" s="9"/>
      <c r="F7" s="9"/>
      <c r="G7" s="9"/>
      <c r="H7" s="222"/>
      <c r="I7" s="223"/>
      <c r="J7" s="224"/>
      <c r="K7" s="53"/>
      <c r="L7" s="53"/>
      <c r="M7" s="53"/>
      <c r="N7" s="53"/>
      <c r="O7" s="53"/>
      <c r="P7" s="53"/>
    </row>
    <row r="8" spans="1:16" ht="14.25">
      <c r="A8" s="8" t="s">
        <v>15</v>
      </c>
      <c r="B8" s="84">
        <v>35.9</v>
      </c>
      <c r="C8" s="84">
        <v>24.4</v>
      </c>
      <c r="D8" s="7">
        <f t="shared" si="0"/>
        <v>-0.32033426183843999</v>
      </c>
      <c r="E8" s="9"/>
      <c r="F8" s="9"/>
      <c r="G8" s="9"/>
      <c r="H8" s="225"/>
      <c r="I8" s="226"/>
      <c r="J8" s="227"/>
      <c r="K8" s="53"/>
      <c r="L8" s="53"/>
      <c r="M8" s="53"/>
      <c r="N8" s="53"/>
      <c r="O8" s="53"/>
      <c r="P8" s="53"/>
    </row>
    <row r="9" spans="1:16" ht="14.25">
      <c r="A9" s="53"/>
      <c r="B9" s="53"/>
      <c r="C9" s="105"/>
      <c r="D9" s="52"/>
      <c r="E9" s="53"/>
      <c r="F9" s="53"/>
      <c r="G9" s="53"/>
      <c r="H9" s="53"/>
      <c r="I9" s="53"/>
      <c r="J9" s="53"/>
      <c r="K9" s="53"/>
      <c r="L9" s="53"/>
      <c r="M9" s="53"/>
      <c r="N9" s="53"/>
      <c r="O9" s="53"/>
      <c r="P9" s="53"/>
    </row>
    <row r="10" spans="1:16" ht="14.25">
      <c r="A10" s="53"/>
      <c r="B10" s="53"/>
      <c r="C10" s="53"/>
      <c r="D10" s="106"/>
      <c r="E10" s="53"/>
      <c r="F10" s="53"/>
      <c r="G10" s="53"/>
      <c r="H10" s="53"/>
      <c r="I10" s="53"/>
      <c r="J10" s="53"/>
      <c r="K10" s="53"/>
      <c r="L10" s="53"/>
      <c r="M10" s="53"/>
      <c r="N10" s="53"/>
      <c r="O10" s="53"/>
      <c r="P10" s="53"/>
    </row>
    <row r="11" spans="1:16" ht="14.25">
      <c r="A11" s="53"/>
      <c r="B11" s="53"/>
      <c r="C11" s="53"/>
      <c r="D11" s="52"/>
      <c r="E11" s="53"/>
      <c r="F11" s="53"/>
      <c r="G11" s="53"/>
      <c r="H11" s="53"/>
      <c r="I11" s="53"/>
      <c r="J11" s="53"/>
      <c r="K11" s="53"/>
      <c r="L11" s="53"/>
      <c r="M11" s="53"/>
      <c r="N11" s="53"/>
      <c r="O11" s="53"/>
      <c r="P11" s="53"/>
    </row>
    <row r="12" spans="1:16" ht="14.25">
      <c r="A12" s="52"/>
      <c r="B12" s="53"/>
      <c r="C12" s="53"/>
      <c r="D12" s="52"/>
      <c r="E12" s="53"/>
      <c r="F12" s="53"/>
      <c r="G12" s="53"/>
      <c r="H12" s="22"/>
      <c r="I12" s="53"/>
      <c r="J12" s="53"/>
      <c r="K12" s="53"/>
      <c r="L12" s="53"/>
      <c r="M12" s="53"/>
      <c r="N12" s="53"/>
      <c r="O12" s="53"/>
      <c r="P12" s="53"/>
    </row>
    <row r="13" spans="1:16" ht="14.25">
      <c r="A13" s="52"/>
      <c r="B13" s="53"/>
      <c r="C13" s="53"/>
      <c r="D13" s="52"/>
      <c r="E13" s="53"/>
      <c r="F13" s="53"/>
      <c r="G13" s="53"/>
      <c r="H13" s="53"/>
      <c r="I13" s="53"/>
      <c r="J13" s="53"/>
      <c r="K13" s="53"/>
      <c r="L13" s="53"/>
      <c r="M13" s="53"/>
      <c r="N13" s="53"/>
      <c r="O13" s="53"/>
      <c r="P13" s="53"/>
    </row>
    <row r="14" spans="1:16" ht="14.25">
      <c r="A14" s="141" t="s">
        <v>181</v>
      </c>
      <c r="B14" s="142"/>
      <c r="C14" s="142"/>
      <c r="D14" s="143"/>
      <c r="E14" s="142"/>
      <c r="F14" s="142"/>
      <c r="G14" s="142"/>
      <c r="H14" s="142"/>
      <c r="I14" s="142"/>
      <c r="J14" s="144"/>
      <c r="K14" s="53"/>
      <c r="L14" s="53"/>
      <c r="M14" s="53"/>
      <c r="N14" s="53"/>
      <c r="O14" s="53"/>
      <c r="P14" s="53"/>
    </row>
    <row r="15" spans="1:16" ht="14.25">
      <c r="A15" s="145" t="s">
        <v>1</v>
      </c>
      <c r="B15" s="145"/>
      <c r="C15" s="24" t="s">
        <v>17</v>
      </c>
      <c r="D15" s="24" t="s">
        <v>18</v>
      </c>
      <c r="E15" s="24" t="s">
        <v>19</v>
      </c>
      <c r="F15" s="23" t="s">
        <v>20</v>
      </c>
      <c r="G15" s="145" t="s">
        <v>21</v>
      </c>
      <c r="H15" s="145"/>
      <c r="I15" s="145"/>
      <c r="J15" s="145"/>
      <c r="K15" s="105"/>
      <c r="L15" s="105"/>
      <c r="M15" s="105"/>
      <c r="N15" s="105"/>
      <c r="O15" s="105"/>
      <c r="P15" s="105"/>
    </row>
    <row r="16" spans="1:16" ht="14.25">
      <c r="A16" s="166" t="s">
        <v>22</v>
      </c>
      <c r="B16" s="51" t="s">
        <v>23</v>
      </c>
      <c r="C16" s="107">
        <v>737953</v>
      </c>
      <c r="D16" s="107">
        <v>410606</v>
      </c>
      <c r="E16" s="108">
        <f t="shared" ref="E16:E20" si="1">(C16-D16)/D16</f>
        <v>0.79722897376073398</v>
      </c>
      <c r="F16" s="28">
        <v>0.40480142622051601</v>
      </c>
      <c r="G16" s="181" t="s">
        <v>24</v>
      </c>
      <c r="H16" s="182"/>
      <c r="I16" s="182"/>
      <c r="J16" s="183"/>
      <c r="K16" s="53"/>
      <c r="L16" s="53"/>
      <c r="M16" s="53"/>
      <c r="N16" s="53"/>
      <c r="O16" s="53"/>
      <c r="P16" s="53"/>
    </row>
    <row r="17" spans="1:16" ht="14.25">
      <c r="A17" s="164"/>
      <c r="B17" s="25" t="s">
        <v>25</v>
      </c>
      <c r="C17" s="109">
        <v>39261</v>
      </c>
      <c r="D17" s="109">
        <v>30855</v>
      </c>
      <c r="E17" s="108">
        <f t="shared" si="1"/>
        <v>0.27243558580457</v>
      </c>
      <c r="F17" s="28">
        <v>2.15364783324191E-2</v>
      </c>
      <c r="G17" s="184"/>
      <c r="H17" s="185"/>
      <c r="I17" s="185"/>
      <c r="J17" s="186"/>
      <c r="K17" s="110"/>
      <c r="L17" s="53"/>
      <c r="M17" s="105"/>
      <c r="N17" s="53"/>
      <c r="O17" s="53"/>
      <c r="P17" s="53"/>
    </row>
    <row r="18" spans="1:16" ht="33.950000000000003" customHeight="1">
      <c r="A18" s="164" t="s">
        <v>26</v>
      </c>
      <c r="B18" s="25" t="s">
        <v>27</v>
      </c>
      <c r="C18" s="109">
        <v>715405.36</v>
      </c>
      <c r="D18" s="111">
        <v>448173.58</v>
      </c>
      <c r="E18" s="108">
        <f t="shared" si="1"/>
        <v>0.596268481511114</v>
      </c>
      <c r="F18" s="28">
        <v>0.39243300054854602</v>
      </c>
      <c r="G18" s="146" t="s">
        <v>182</v>
      </c>
      <c r="H18" s="147"/>
      <c r="I18" s="147"/>
      <c r="J18" s="147"/>
      <c r="K18" s="110"/>
      <c r="L18" s="53"/>
      <c r="M18" s="53"/>
      <c r="N18" s="53"/>
      <c r="O18" s="53"/>
      <c r="P18" s="53"/>
    </row>
    <row r="19" spans="1:16" ht="27.6" customHeight="1">
      <c r="A19" s="164"/>
      <c r="B19" s="25" t="s">
        <v>29</v>
      </c>
      <c r="C19" s="109">
        <v>148024.25</v>
      </c>
      <c r="D19" s="111">
        <v>86396.15</v>
      </c>
      <c r="E19" s="108">
        <f t="shared" si="1"/>
        <v>0.71331998011485498</v>
      </c>
      <c r="F19" s="28">
        <v>8.1198162369720203E-2</v>
      </c>
      <c r="G19" s="146" t="s">
        <v>183</v>
      </c>
      <c r="H19" s="147"/>
      <c r="I19" s="147"/>
      <c r="J19" s="147"/>
      <c r="K19" s="110"/>
      <c r="L19" s="53"/>
      <c r="M19" s="53"/>
      <c r="N19" s="53"/>
      <c r="O19" s="53"/>
      <c r="P19" s="53"/>
    </row>
    <row r="20" spans="1:16" ht="14.25">
      <c r="A20" s="164" t="s">
        <v>31</v>
      </c>
      <c r="B20" s="25" t="s">
        <v>32</v>
      </c>
      <c r="C20" s="109">
        <v>191227</v>
      </c>
      <c r="D20" s="111">
        <v>107708</v>
      </c>
      <c r="E20" s="108">
        <f t="shared" si="1"/>
        <v>0.77542058157239901</v>
      </c>
      <c r="F20" s="28">
        <v>0.104896873285793</v>
      </c>
      <c r="G20" s="228" t="s">
        <v>184</v>
      </c>
      <c r="H20" s="173"/>
      <c r="I20" s="173"/>
      <c r="J20" s="174"/>
      <c r="K20" s="110"/>
      <c r="L20" s="53"/>
      <c r="M20" s="53"/>
      <c r="N20" s="53"/>
      <c r="O20" s="53"/>
      <c r="P20" s="53"/>
    </row>
    <row r="21" spans="1:16" ht="14.25">
      <c r="A21" s="164"/>
      <c r="B21" s="25" t="s">
        <v>34</v>
      </c>
      <c r="C21" s="109">
        <v>124414.71</v>
      </c>
      <c r="D21" s="112">
        <v>0</v>
      </c>
      <c r="E21" s="108"/>
      <c r="F21" s="28">
        <v>6.8247235326385103E-2</v>
      </c>
      <c r="G21" s="195"/>
      <c r="H21" s="176"/>
      <c r="I21" s="176"/>
      <c r="J21" s="177"/>
      <c r="K21" s="110"/>
      <c r="L21" s="53"/>
      <c r="M21" s="53"/>
      <c r="N21" s="53"/>
      <c r="O21" s="53"/>
      <c r="P21" s="53"/>
    </row>
    <row r="22" spans="1:16" ht="14.25">
      <c r="A22" s="164"/>
      <c r="B22" s="51" t="s">
        <v>36</v>
      </c>
      <c r="C22" s="109">
        <v>73392</v>
      </c>
      <c r="D22" s="113">
        <v>9672</v>
      </c>
      <c r="E22" s="108">
        <f>(C22-D22)/D22</f>
        <v>6.5880893300248102</v>
      </c>
      <c r="F22" s="28">
        <v>4.0258913878222703E-2</v>
      </c>
      <c r="G22" s="196"/>
      <c r="H22" s="179"/>
      <c r="I22" s="179"/>
      <c r="J22" s="180"/>
      <c r="K22" s="110"/>
      <c r="L22" s="53"/>
      <c r="M22" s="53"/>
      <c r="N22" s="53"/>
      <c r="O22" s="53"/>
      <c r="P22" s="53"/>
    </row>
    <row r="23" spans="1:16" ht="14.25">
      <c r="A23" s="167"/>
      <c r="B23" s="45" t="s">
        <v>37</v>
      </c>
      <c r="C23" s="114">
        <v>113000</v>
      </c>
      <c r="D23" s="115">
        <v>140000</v>
      </c>
      <c r="E23" s="108">
        <f>(C23-D23)/D23</f>
        <v>-0.192857142857143</v>
      </c>
      <c r="F23" s="28">
        <v>6.1985737794843697E-2</v>
      </c>
      <c r="G23" s="148" t="s">
        <v>185</v>
      </c>
      <c r="H23" s="149"/>
      <c r="I23" s="149"/>
      <c r="J23" s="149"/>
      <c r="K23" s="110"/>
      <c r="L23" s="53"/>
      <c r="M23" s="53"/>
      <c r="N23" s="53"/>
      <c r="O23" s="53"/>
      <c r="P23" s="53"/>
    </row>
    <row r="24" spans="1:16" ht="14.25">
      <c r="A24" s="187" t="s">
        <v>186</v>
      </c>
      <c r="B24" s="188"/>
      <c r="C24" s="188"/>
      <c r="D24" s="188"/>
      <c r="E24" s="188"/>
      <c r="F24" s="188"/>
      <c r="G24" s="188"/>
      <c r="H24" s="188"/>
      <c r="I24" s="188"/>
      <c r="J24" s="188"/>
      <c r="K24" s="110"/>
      <c r="L24" s="53"/>
      <c r="M24" s="53"/>
      <c r="N24" s="53"/>
      <c r="O24" s="53"/>
      <c r="P24" s="53"/>
    </row>
    <row r="25" spans="1:16" ht="14.25">
      <c r="A25" s="188"/>
      <c r="B25" s="188"/>
      <c r="C25" s="188"/>
      <c r="D25" s="188"/>
      <c r="E25" s="188"/>
      <c r="F25" s="188"/>
      <c r="G25" s="188"/>
      <c r="H25" s="188"/>
      <c r="I25" s="188"/>
      <c r="J25" s="188"/>
      <c r="K25" s="53"/>
      <c r="L25" s="53"/>
      <c r="M25" s="53"/>
      <c r="N25" s="53"/>
      <c r="O25" s="53"/>
      <c r="P25" s="53"/>
    </row>
    <row r="26" spans="1:16" ht="14.25">
      <c r="A26" s="52"/>
      <c r="B26" s="53"/>
      <c r="C26" s="53"/>
      <c r="D26" s="52"/>
      <c r="E26" s="53"/>
      <c r="F26" s="53"/>
      <c r="G26" s="53"/>
      <c r="H26" s="53"/>
      <c r="I26" s="53"/>
      <c r="J26" s="53"/>
      <c r="K26" s="53"/>
      <c r="L26" s="53"/>
      <c r="M26" s="53"/>
      <c r="N26" s="53"/>
      <c r="O26" s="53"/>
      <c r="P26" s="53"/>
    </row>
    <row r="27" spans="1:16" ht="14.25">
      <c r="A27" s="52"/>
      <c r="B27" s="53"/>
      <c r="C27" s="53"/>
      <c r="D27" s="52"/>
      <c r="E27" s="53"/>
      <c r="F27" s="53"/>
      <c r="G27" s="53"/>
      <c r="H27" s="53"/>
      <c r="I27" s="53"/>
      <c r="J27" s="53"/>
      <c r="K27" s="53"/>
      <c r="L27" s="53"/>
      <c r="M27" s="53"/>
      <c r="N27" s="53"/>
      <c r="O27" s="53"/>
      <c r="P27" s="53"/>
    </row>
    <row r="28" spans="1:16" ht="14.25">
      <c r="A28" s="152" t="s">
        <v>187</v>
      </c>
      <c r="B28" s="152"/>
      <c r="C28" s="152"/>
      <c r="D28" s="152"/>
      <c r="E28" s="152"/>
      <c r="F28" s="152"/>
      <c r="G28" s="152"/>
      <c r="H28" s="152"/>
      <c r="I28" s="152"/>
      <c r="J28" s="152"/>
      <c r="K28" s="152"/>
      <c r="L28" s="202" t="s">
        <v>127</v>
      </c>
      <c r="M28" s="202"/>
      <c r="N28" s="202"/>
      <c r="O28" s="202"/>
      <c r="P28" s="202"/>
    </row>
    <row r="29" spans="1:16" ht="14.25">
      <c r="A29" s="32" t="s">
        <v>41</v>
      </c>
      <c r="B29" s="32" t="s">
        <v>42</v>
      </c>
      <c r="C29" s="32" t="s">
        <v>43</v>
      </c>
      <c r="D29" s="32" t="s">
        <v>17</v>
      </c>
      <c r="E29" s="32" t="s">
        <v>18</v>
      </c>
      <c r="F29" s="32" t="s">
        <v>19</v>
      </c>
      <c r="G29" s="32" t="s">
        <v>20</v>
      </c>
      <c r="H29" s="153" t="s">
        <v>21</v>
      </c>
      <c r="I29" s="153"/>
      <c r="J29" s="153"/>
      <c r="K29" s="153"/>
      <c r="L29" s="86" t="s">
        <v>128</v>
      </c>
      <c r="M29" s="86" t="s">
        <v>129</v>
      </c>
      <c r="N29" s="86" t="s">
        <v>130</v>
      </c>
      <c r="O29" s="86" t="s">
        <v>20</v>
      </c>
      <c r="P29" s="67" t="s">
        <v>131</v>
      </c>
    </row>
    <row r="30" spans="1:16" ht="14.25">
      <c r="A30" s="212" t="s">
        <v>44</v>
      </c>
      <c r="B30" s="128" t="s">
        <v>45</v>
      </c>
      <c r="C30" s="34" t="s">
        <v>46</v>
      </c>
      <c r="D30" s="36">
        <v>375989</v>
      </c>
      <c r="E30" s="36">
        <v>126073</v>
      </c>
      <c r="F30" s="37">
        <f>(D30-E30)/E30</f>
        <v>1.98231183520659</v>
      </c>
      <c r="G30" s="37">
        <v>0.20624739440482701</v>
      </c>
      <c r="H30" s="231" t="s">
        <v>188</v>
      </c>
      <c r="I30" s="232"/>
      <c r="J30" s="232"/>
      <c r="K30" s="233"/>
      <c r="L30" s="36">
        <v>850000</v>
      </c>
      <c r="M30" s="36">
        <v>464173</v>
      </c>
      <c r="N30" s="37">
        <f t="shared" ref="N30:N33" si="2">(L30-M30)/M30</f>
        <v>0.83121379313316401</v>
      </c>
      <c r="O30" s="37">
        <v>0.22666666666666699</v>
      </c>
      <c r="P30" s="239" t="s">
        <v>189</v>
      </c>
    </row>
    <row r="31" spans="1:16" ht="35.1" customHeight="1">
      <c r="A31" s="213"/>
      <c r="B31" s="129" t="s">
        <v>48</v>
      </c>
      <c r="C31" s="43" t="s">
        <v>49</v>
      </c>
      <c r="D31" s="26">
        <v>44087</v>
      </c>
      <c r="E31" s="26">
        <v>49058</v>
      </c>
      <c r="F31" s="27">
        <f>(D31-E31)/E31</f>
        <v>-0.10132903909658</v>
      </c>
      <c r="G31" s="38">
        <v>2.41837630279759E-2</v>
      </c>
      <c r="H31" s="231" t="s">
        <v>190</v>
      </c>
      <c r="I31" s="232"/>
      <c r="J31" s="232"/>
      <c r="K31" s="233"/>
      <c r="L31" s="26">
        <v>200000</v>
      </c>
      <c r="M31" s="26">
        <v>158508</v>
      </c>
      <c r="N31" s="28">
        <f t="shared" si="2"/>
        <v>0.261765967648321</v>
      </c>
      <c r="O31" s="28">
        <v>5.3333333333333302E-2</v>
      </c>
      <c r="P31" s="240"/>
    </row>
    <row r="32" spans="1:16" ht="19.350000000000001" customHeight="1">
      <c r="A32" s="213"/>
      <c r="B32" s="129" t="s">
        <v>50</v>
      </c>
      <c r="C32" s="43" t="s">
        <v>51</v>
      </c>
      <c r="D32" s="26">
        <v>174530</v>
      </c>
      <c r="E32" s="26">
        <v>258205</v>
      </c>
      <c r="F32" s="27">
        <f>(D32-E32)/E32</f>
        <v>-0.32406421254429602</v>
      </c>
      <c r="G32" s="38">
        <v>9.5737794843664306E-2</v>
      </c>
      <c r="H32" s="231" t="s">
        <v>191</v>
      </c>
      <c r="I32" s="232"/>
      <c r="J32" s="232"/>
      <c r="K32" s="233"/>
      <c r="L32" s="26">
        <v>500000</v>
      </c>
      <c r="M32" s="26">
        <v>793773</v>
      </c>
      <c r="N32" s="28">
        <f t="shared" si="2"/>
        <v>-0.37009699246510003</v>
      </c>
      <c r="O32" s="28">
        <v>0.133333333333333</v>
      </c>
      <c r="P32" s="240"/>
    </row>
    <row r="33" spans="1:16" ht="44.1" customHeight="1">
      <c r="A33" s="213"/>
      <c r="B33" s="129" t="s">
        <v>53</v>
      </c>
      <c r="C33" s="43" t="s">
        <v>54</v>
      </c>
      <c r="D33" s="26">
        <v>70838</v>
      </c>
      <c r="E33" s="26">
        <v>75504</v>
      </c>
      <c r="F33" s="27">
        <f>(D33-E33)/E33</f>
        <v>-6.1798050434414102E-2</v>
      </c>
      <c r="G33" s="38">
        <v>3.8857926494788801E-2</v>
      </c>
      <c r="H33" s="231" t="s">
        <v>192</v>
      </c>
      <c r="I33" s="232"/>
      <c r="J33" s="232"/>
      <c r="K33" s="233"/>
      <c r="L33" s="26">
        <v>200000</v>
      </c>
      <c r="M33" s="26">
        <v>194284</v>
      </c>
      <c r="N33" s="28">
        <f t="shared" si="2"/>
        <v>2.9420847831010299E-2</v>
      </c>
      <c r="O33" s="28">
        <v>5.3333333333333302E-2</v>
      </c>
      <c r="P33" s="240"/>
    </row>
    <row r="34" spans="1:16" ht="28.35" customHeight="1">
      <c r="A34" s="213"/>
      <c r="B34" s="129" t="s">
        <v>55</v>
      </c>
      <c r="C34" s="43" t="s">
        <v>56</v>
      </c>
      <c r="D34" s="26">
        <v>42720</v>
      </c>
      <c r="E34" s="29" t="s">
        <v>57</v>
      </c>
      <c r="F34" s="29" t="s">
        <v>57</v>
      </c>
      <c r="G34" s="38">
        <v>2.3433900164563901E-2</v>
      </c>
      <c r="H34" s="150" t="s">
        <v>193</v>
      </c>
      <c r="I34" s="150"/>
      <c r="J34" s="150"/>
      <c r="K34" s="150"/>
      <c r="L34" s="26">
        <v>500000</v>
      </c>
      <c r="M34" s="29" t="s">
        <v>57</v>
      </c>
      <c r="N34" s="29" t="s">
        <v>57</v>
      </c>
      <c r="O34" s="28">
        <v>0.133333333333333</v>
      </c>
      <c r="P34" s="240"/>
    </row>
    <row r="35" spans="1:16" ht="14.25">
      <c r="A35" s="213"/>
      <c r="B35" s="42"/>
      <c r="C35" s="43" t="s">
        <v>138</v>
      </c>
      <c r="D35" s="26">
        <v>4063</v>
      </c>
      <c r="E35" s="29" t="s">
        <v>57</v>
      </c>
      <c r="F35" s="29" t="s">
        <v>57</v>
      </c>
      <c r="G35" s="38">
        <v>2E-3</v>
      </c>
      <c r="H35" s="203"/>
      <c r="I35" s="204"/>
      <c r="J35" s="204"/>
      <c r="K35" s="205"/>
      <c r="L35" s="26">
        <v>100000</v>
      </c>
      <c r="M35" s="29" t="s">
        <v>57</v>
      </c>
      <c r="N35" s="29" t="s">
        <v>57</v>
      </c>
      <c r="O35" s="28">
        <v>2.66666666666667E-2</v>
      </c>
      <c r="P35" s="240"/>
    </row>
    <row r="36" spans="1:16" ht="14.25">
      <c r="A36" s="168"/>
      <c r="B36" s="42"/>
      <c r="C36" s="43" t="s">
        <v>139</v>
      </c>
      <c r="D36" s="26"/>
      <c r="E36" s="26"/>
      <c r="F36" s="28"/>
      <c r="G36" s="38">
        <v>0</v>
      </c>
      <c r="H36" s="203"/>
      <c r="I36" s="204"/>
      <c r="J36" s="204"/>
      <c r="K36" s="205"/>
      <c r="L36" s="26">
        <v>160000</v>
      </c>
      <c r="M36" s="29" t="s">
        <v>57</v>
      </c>
      <c r="N36" s="29" t="s">
        <v>57</v>
      </c>
      <c r="O36" s="28">
        <v>4.26666666666667E-2</v>
      </c>
      <c r="P36" s="241"/>
    </row>
    <row r="37" spans="1:16" ht="14.25">
      <c r="A37" s="165" t="s">
        <v>59</v>
      </c>
      <c r="B37" s="129" t="s">
        <v>60</v>
      </c>
      <c r="C37" s="43" t="s">
        <v>61</v>
      </c>
      <c r="D37" s="26">
        <v>18349</v>
      </c>
      <c r="E37" s="26">
        <v>17902</v>
      </c>
      <c r="F37" s="28">
        <f>(D37-E37)/E37</f>
        <v>2.4969277175734599E-2</v>
      </c>
      <c r="G37" s="38">
        <v>1.00652770159078E-2</v>
      </c>
      <c r="H37" s="150" t="s">
        <v>194</v>
      </c>
      <c r="I37" s="161"/>
      <c r="J37" s="161"/>
      <c r="K37" s="161"/>
      <c r="L37" s="26">
        <v>70000</v>
      </c>
      <c r="M37" s="26">
        <v>52119</v>
      </c>
      <c r="N37" s="28">
        <f t="shared" ref="N37:N44" si="3">(L37-M37)/M37</f>
        <v>0.34308025863888397</v>
      </c>
      <c r="O37" s="28">
        <v>1.8666666666666699E-2</v>
      </c>
      <c r="P37" s="150" t="s">
        <v>195</v>
      </c>
    </row>
    <row r="38" spans="1:16" ht="14.25">
      <c r="A38" s="165"/>
      <c r="B38" s="129" t="s">
        <v>63</v>
      </c>
      <c r="C38" s="43" t="s">
        <v>64</v>
      </c>
      <c r="D38" s="26">
        <v>4740</v>
      </c>
      <c r="E38" s="26">
        <v>4223</v>
      </c>
      <c r="F38" s="28">
        <f t="shared" ref="F38:F44" si="4">(D38-E38)/E38</f>
        <v>0.12242481648117499</v>
      </c>
      <c r="G38" s="38">
        <v>2.6001097092704299E-3</v>
      </c>
      <c r="H38" s="161"/>
      <c r="I38" s="161"/>
      <c r="J38" s="161"/>
      <c r="K38" s="161"/>
      <c r="L38" s="26">
        <v>20000</v>
      </c>
      <c r="M38" s="26">
        <v>18609</v>
      </c>
      <c r="N38" s="28">
        <f t="shared" si="3"/>
        <v>7.4748777473265596E-2</v>
      </c>
      <c r="O38" s="28">
        <v>5.3333333333333297E-3</v>
      </c>
      <c r="P38" s="161"/>
    </row>
    <row r="39" spans="1:16" ht="14.25">
      <c r="A39" s="165"/>
      <c r="B39" s="129" t="s">
        <v>65</v>
      </c>
      <c r="C39" s="43" t="s">
        <v>66</v>
      </c>
      <c r="D39" s="26">
        <v>34059</v>
      </c>
      <c r="E39" s="26">
        <v>34261</v>
      </c>
      <c r="F39" s="28">
        <f t="shared" si="4"/>
        <v>-5.89591663991127E-3</v>
      </c>
      <c r="G39" s="38">
        <v>1.8682940208447602E-2</v>
      </c>
      <c r="H39" s="161"/>
      <c r="I39" s="161"/>
      <c r="J39" s="161"/>
      <c r="K39" s="161"/>
      <c r="L39" s="26">
        <v>80000</v>
      </c>
      <c r="M39" s="26">
        <v>90139</v>
      </c>
      <c r="N39" s="28">
        <f t="shared" si="3"/>
        <v>-0.112481833612532</v>
      </c>
      <c r="O39" s="28">
        <v>2.1333333333333301E-2</v>
      </c>
      <c r="P39" s="161"/>
    </row>
    <row r="40" spans="1:16" ht="14.25">
      <c r="A40" s="165"/>
      <c r="B40" s="129" t="s">
        <v>67</v>
      </c>
      <c r="C40" s="43" t="s">
        <v>68</v>
      </c>
      <c r="D40" s="26">
        <v>15892</v>
      </c>
      <c r="E40" s="26">
        <v>7899</v>
      </c>
      <c r="F40" s="28">
        <f t="shared" si="4"/>
        <v>1.0119002405367801</v>
      </c>
      <c r="G40" s="38">
        <v>8.7174986286341193E-3</v>
      </c>
      <c r="H40" s="161"/>
      <c r="I40" s="161"/>
      <c r="J40" s="161"/>
      <c r="K40" s="161"/>
      <c r="L40" s="26">
        <v>55000</v>
      </c>
      <c r="M40" s="26">
        <v>33055</v>
      </c>
      <c r="N40" s="28">
        <f t="shared" si="3"/>
        <v>0.66389351081530801</v>
      </c>
      <c r="O40" s="28">
        <v>1.4666666666666699E-2</v>
      </c>
      <c r="P40" s="161"/>
    </row>
    <row r="41" spans="1:16" ht="14.25">
      <c r="A41" s="165"/>
      <c r="B41" s="129" t="s">
        <v>69</v>
      </c>
      <c r="C41" s="43" t="s">
        <v>70</v>
      </c>
      <c r="D41" s="26">
        <v>28509</v>
      </c>
      <c r="E41" s="26">
        <v>23111</v>
      </c>
      <c r="F41" s="28">
        <f t="shared" si="4"/>
        <v>0.233568430617455</v>
      </c>
      <c r="G41" s="38">
        <v>1.56385079539221E-2</v>
      </c>
      <c r="H41" s="150" t="s">
        <v>141</v>
      </c>
      <c r="I41" s="161"/>
      <c r="J41" s="161"/>
      <c r="K41" s="161"/>
      <c r="L41" s="26">
        <v>57897</v>
      </c>
      <c r="M41" s="26">
        <v>72592</v>
      </c>
      <c r="N41" s="28">
        <f t="shared" si="3"/>
        <v>-0.202432774961428</v>
      </c>
      <c r="O41" s="28">
        <v>1.54392E-2</v>
      </c>
      <c r="P41" s="161"/>
    </row>
    <row r="42" spans="1:16" ht="14.25">
      <c r="A42" s="165"/>
      <c r="B42" s="129" t="s">
        <v>72</v>
      </c>
      <c r="C42" s="43" t="s">
        <v>73</v>
      </c>
      <c r="D42" s="26">
        <v>12669</v>
      </c>
      <c r="E42" s="26">
        <v>2154</v>
      </c>
      <c r="F42" s="28">
        <f t="shared" si="4"/>
        <v>4.8816155988857899</v>
      </c>
      <c r="G42" s="38">
        <v>6.9495337356006602E-3</v>
      </c>
      <c r="H42" s="161"/>
      <c r="I42" s="161"/>
      <c r="J42" s="161"/>
      <c r="K42" s="161"/>
      <c r="L42" s="26">
        <v>35000</v>
      </c>
      <c r="M42" s="26">
        <v>23069</v>
      </c>
      <c r="N42" s="28">
        <f t="shared" si="3"/>
        <v>0.51718756773158803</v>
      </c>
      <c r="O42" s="28">
        <v>9.3333333333333306E-3</v>
      </c>
      <c r="P42" s="161"/>
    </row>
    <row r="43" spans="1:16" ht="14.25">
      <c r="A43" s="167" t="s">
        <v>74</v>
      </c>
      <c r="B43" s="48">
        <v>100127194542</v>
      </c>
      <c r="C43" s="43" t="s">
        <v>75</v>
      </c>
      <c r="D43" s="26">
        <v>11892</v>
      </c>
      <c r="E43" s="26">
        <v>8057</v>
      </c>
      <c r="F43" s="28">
        <f t="shared" si="4"/>
        <v>0.47598361673079298</v>
      </c>
      <c r="G43" s="38">
        <v>6.5233132199670899E-3</v>
      </c>
      <c r="H43" s="150" t="s">
        <v>196</v>
      </c>
      <c r="I43" s="161"/>
      <c r="J43" s="161"/>
      <c r="K43" s="161"/>
      <c r="L43" s="26">
        <v>45000</v>
      </c>
      <c r="M43" s="26">
        <v>23819</v>
      </c>
      <c r="N43" s="28">
        <f t="shared" si="3"/>
        <v>0.88924807926445304</v>
      </c>
      <c r="O43" s="28">
        <v>1.2E-2</v>
      </c>
      <c r="P43" s="242" t="s">
        <v>197</v>
      </c>
    </row>
    <row r="44" spans="1:16" ht="14.25">
      <c r="A44" s="169"/>
      <c r="B44" s="48">
        <v>100150693764</v>
      </c>
      <c r="C44" s="49" t="s">
        <v>77</v>
      </c>
      <c r="D44" s="26">
        <v>9280</v>
      </c>
      <c r="E44" s="26">
        <v>10445</v>
      </c>
      <c r="F44" s="28">
        <f t="shared" si="4"/>
        <v>-0.111536620392532</v>
      </c>
      <c r="G44" s="38">
        <v>5.0905101481075197E-3</v>
      </c>
      <c r="H44" s="161"/>
      <c r="I44" s="161"/>
      <c r="J44" s="161"/>
      <c r="K44" s="161"/>
      <c r="L44" s="26">
        <v>16000</v>
      </c>
      <c r="M44" s="26">
        <v>36519</v>
      </c>
      <c r="N44" s="28">
        <f t="shared" si="3"/>
        <v>-0.561871902297434</v>
      </c>
      <c r="O44" s="28">
        <v>4.2666666666666703E-3</v>
      </c>
      <c r="P44" s="243"/>
    </row>
    <row r="45" spans="1:16" ht="14.25">
      <c r="A45" s="166"/>
      <c r="B45" s="48"/>
      <c r="C45" s="93" t="s">
        <v>198</v>
      </c>
      <c r="D45" s="26"/>
      <c r="E45" s="26"/>
      <c r="F45" s="28"/>
      <c r="G45" s="38"/>
      <c r="H45" s="234"/>
      <c r="I45" s="235"/>
      <c r="J45" s="235"/>
      <c r="K45" s="236"/>
      <c r="L45" s="26">
        <v>10000</v>
      </c>
      <c r="M45" s="29" t="s">
        <v>57</v>
      </c>
      <c r="N45" s="27" t="s">
        <v>57</v>
      </c>
      <c r="O45" s="27">
        <v>2.66666666666667E-3</v>
      </c>
      <c r="P45" s="50" t="s">
        <v>145</v>
      </c>
    </row>
    <row r="46" spans="1:16" ht="14.25">
      <c r="A46" s="164" t="s">
        <v>78</v>
      </c>
      <c r="B46" s="129" t="s">
        <v>79</v>
      </c>
      <c r="C46" s="43" t="s">
        <v>80</v>
      </c>
      <c r="D46" s="26">
        <v>10406</v>
      </c>
      <c r="E46" s="29" t="s">
        <v>57</v>
      </c>
      <c r="F46" s="29" t="s">
        <v>57</v>
      </c>
      <c r="G46" s="38">
        <v>5.7081733406472903E-3</v>
      </c>
      <c r="H46" s="189" t="s">
        <v>146</v>
      </c>
      <c r="I46" s="190"/>
      <c r="J46" s="190"/>
      <c r="K46" s="191"/>
      <c r="L46" s="26">
        <v>25000</v>
      </c>
      <c r="M46" s="26"/>
      <c r="N46" s="28"/>
      <c r="O46" s="28">
        <v>6.6666666666666697E-3</v>
      </c>
      <c r="P46" s="243"/>
    </row>
    <row r="47" spans="1:16" ht="14.25">
      <c r="A47" s="164"/>
      <c r="B47" s="129" t="s">
        <v>82</v>
      </c>
      <c r="C47" s="49" t="s">
        <v>83</v>
      </c>
      <c r="D47" s="26">
        <v>6202</v>
      </c>
      <c r="E47" s="29" t="s">
        <v>57</v>
      </c>
      <c r="F47" s="29" t="s">
        <v>57</v>
      </c>
      <c r="G47" s="38">
        <v>3.4020844761382301E-3</v>
      </c>
      <c r="H47" s="192"/>
      <c r="I47" s="193"/>
      <c r="J47" s="193"/>
      <c r="K47" s="194"/>
      <c r="L47" s="26">
        <v>20083</v>
      </c>
      <c r="M47" s="26"/>
      <c r="N47" s="28"/>
      <c r="O47" s="28">
        <v>5.3554666666666704E-3</v>
      </c>
      <c r="P47" s="243"/>
    </row>
    <row r="48" spans="1:16" ht="14.25">
      <c r="A48" s="164"/>
      <c r="B48" s="48">
        <v>100230489825</v>
      </c>
      <c r="C48" s="43" t="s">
        <v>84</v>
      </c>
      <c r="D48" s="26">
        <v>106454</v>
      </c>
      <c r="E48" s="29" t="s">
        <v>57</v>
      </c>
      <c r="F48" s="29" t="s">
        <v>57</v>
      </c>
      <c r="G48" s="38">
        <v>5.8394953373560099E-2</v>
      </c>
      <c r="H48" s="189" t="s">
        <v>199</v>
      </c>
      <c r="I48" s="190"/>
      <c r="J48" s="190"/>
      <c r="K48" s="191"/>
      <c r="L48" s="26">
        <v>100000</v>
      </c>
      <c r="M48" s="26"/>
      <c r="N48" s="28"/>
      <c r="O48" s="103">
        <v>2.66666666666667E-2</v>
      </c>
      <c r="P48" s="150" t="s">
        <v>200</v>
      </c>
    </row>
    <row r="49" spans="1:16" ht="14.25">
      <c r="A49" s="164"/>
      <c r="B49" s="48">
        <v>100307579062</v>
      </c>
      <c r="C49" s="49" t="s">
        <v>85</v>
      </c>
      <c r="D49" s="26">
        <v>65273</v>
      </c>
      <c r="E49" s="29" t="s">
        <v>57</v>
      </c>
      <c r="F49" s="29" t="s">
        <v>57</v>
      </c>
      <c r="G49" s="38">
        <v>3.5805266044980799E-2</v>
      </c>
      <c r="H49" s="192"/>
      <c r="I49" s="193"/>
      <c r="J49" s="193"/>
      <c r="K49" s="194"/>
      <c r="L49" s="26">
        <v>60000</v>
      </c>
      <c r="M49" s="26"/>
      <c r="N49" s="28"/>
      <c r="O49" s="103">
        <v>1.6E-2</v>
      </c>
      <c r="P49" s="161"/>
    </row>
    <row r="50" spans="1:16" ht="14.25">
      <c r="A50" s="52"/>
      <c r="B50" s="53"/>
      <c r="C50" s="53"/>
      <c r="D50" s="52"/>
      <c r="E50" s="53"/>
      <c r="F50" s="53"/>
      <c r="G50" s="53"/>
      <c r="H50" s="53"/>
      <c r="I50" s="53"/>
      <c r="J50" s="53"/>
      <c r="K50" s="53"/>
      <c r="L50" s="53"/>
      <c r="M50" s="53"/>
      <c r="N50" s="53"/>
      <c r="O50" s="53"/>
      <c r="P50" s="53"/>
    </row>
    <row r="51" spans="1:16" ht="14.25">
      <c r="A51" s="52"/>
      <c r="B51" s="53"/>
      <c r="C51" s="53"/>
      <c r="D51" s="52"/>
      <c r="E51" s="53"/>
      <c r="F51" s="53"/>
      <c r="G51" s="53"/>
      <c r="H51" s="53"/>
      <c r="I51" s="53"/>
      <c r="J51" s="53"/>
      <c r="K51" s="53"/>
      <c r="L51" s="53"/>
      <c r="M51" s="53"/>
      <c r="N51" s="53"/>
      <c r="O51" s="53"/>
      <c r="P51" s="53"/>
    </row>
    <row r="52" spans="1:16" ht="14.25">
      <c r="A52" s="237" t="s">
        <v>201</v>
      </c>
      <c r="B52" s="237"/>
      <c r="C52" s="237"/>
      <c r="D52" s="237"/>
      <c r="E52" s="237"/>
      <c r="F52" s="237"/>
      <c r="G52" s="237"/>
      <c r="H52" s="237"/>
      <c r="I52" s="237"/>
      <c r="J52" s="237"/>
      <c r="K52" s="210" t="s">
        <v>150</v>
      </c>
      <c r="L52" s="210"/>
      <c r="M52" s="210"/>
      <c r="N52" s="210"/>
      <c r="O52" s="210"/>
      <c r="P52" s="210"/>
    </row>
    <row r="53" spans="1:16" ht="14.25">
      <c r="A53" s="238" t="s">
        <v>87</v>
      </c>
      <c r="B53" s="238"/>
      <c r="C53" s="54" t="s">
        <v>17</v>
      </c>
      <c r="D53" s="54" t="s">
        <v>18</v>
      </c>
      <c r="E53" s="54" t="s">
        <v>19</v>
      </c>
      <c r="F53" s="54" t="s">
        <v>20</v>
      </c>
      <c r="G53" s="238" t="s">
        <v>21</v>
      </c>
      <c r="H53" s="238"/>
      <c r="I53" s="238"/>
      <c r="J53" s="238"/>
      <c r="K53" s="101" t="s">
        <v>128</v>
      </c>
      <c r="L53" s="101" t="s">
        <v>152</v>
      </c>
      <c r="M53" s="101" t="s">
        <v>153</v>
      </c>
      <c r="N53" s="101" t="s">
        <v>154</v>
      </c>
      <c r="O53" s="211" t="s">
        <v>155</v>
      </c>
      <c r="P53" s="211"/>
    </row>
    <row r="54" spans="1:16" ht="39" customHeight="1">
      <c r="A54" s="164" t="s">
        <v>88</v>
      </c>
      <c r="B54" s="42" t="s">
        <v>89</v>
      </c>
      <c r="C54" s="26">
        <v>1021522</v>
      </c>
      <c r="D54" s="26">
        <v>759413</v>
      </c>
      <c r="E54" s="28">
        <f t="shared" ref="E54:E57" si="5">(C54-D54)/D54</f>
        <v>0.34514684368058002</v>
      </c>
      <c r="F54" s="28">
        <v>0.62460000000000004</v>
      </c>
      <c r="G54" s="150" t="s">
        <v>90</v>
      </c>
      <c r="H54" s="150"/>
      <c r="I54" s="150"/>
      <c r="J54" s="150"/>
      <c r="K54" s="116">
        <v>2440000</v>
      </c>
      <c r="L54" s="25" t="s">
        <v>156</v>
      </c>
      <c r="M54" s="25" t="s">
        <v>157</v>
      </c>
      <c r="N54" s="51" t="s">
        <v>158</v>
      </c>
      <c r="O54" s="187" t="s">
        <v>159</v>
      </c>
      <c r="P54" s="187"/>
    </row>
    <row r="55" spans="1:16" ht="30" customHeight="1">
      <c r="A55" s="165"/>
      <c r="B55" s="42" t="s">
        <v>91</v>
      </c>
      <c r="C55" s="26">
        <v>613734</v>
      </c>
      <c r="D55" s="26">
        <v>392841</v>
      </c>
      <c r="E55" s="28">
        <f t="shared" si="5"/>
        <v>0.56229619617097004</v>
      </c>
      <c r="F55" s="28">
        <v>0.37530000000000002</v>
      </c>
      <c r="G55" s="150"/>
      <c r="H55" s="150"/>
      <c r="I55" s="150"/>
      <c r="J55" s="150"/>
      <c r="K55" s="26">
        <v>1310000</v>
      </c>
      <c r="L55" s="79" t="s">
        <v>160</v>
      </c>
      <c r="M55" s="25" t="s">
        <v>161</v>
      </c>
      <c r="N55" s="25" t="s">
        <v>162</v>
      </c>
      <c r="O55" s="187" t="s">
        <v>163</v>
      </c>
      <c r="P55" s="188"/>
    </row>
    <row r="56" spans="1:16" ht="30" customHeight="1">
      <c r="A56" s="164" t="s">
        <v>92</v>
      </c>
      <c r="B56" s="25" t="s">
        <v>93</v>
      </c>
      <c r="C56" s="26">
        <v>112681</v>
      </c>
      <c r="D56" s="26">
        <v>92551</v>
      </c>
      <c r="E56" s="28">
        <f t="shared" si="5"/>
        <v>0.21750170176443301</v>
      </c>
      <c r="F56" s="28">
        <v>6.8900000000000003E-2</v>
      </c>
      <c r="G56" s="150" t="s">
        <v>94</v>
      </c>
      <c r="H56" s="161"/>
      <c r="I56" s="161"/>
      <c r="J56" s="161"/>
      <c r="K56" s="29" t="s">
        <v>202</v>
      </c>
      <c r="L56" s="25" t="s">
        <v>156</v>
      </c>
      <c r="M56" s="25" t="s">
        <v>203</v>
      </c>
      <c r="N56" s="25" t="s">
        <v>204</v>
      </c>
      <c r="O56" s="187" t="s">
        <v>205</v>
      </c>
      <c r="P56" s="188"/>
    </row>
    <row r="57" spans="1:16" ht="35.25" customHeight="1">
      <c r="A57" s="165"/>
      <c r="B57" s="42" t="s">
        <v>95</v>
      </c>
      <c r="C57" s="26">
        <v>841927</v>
      </c>
      <c r="D57" s="26">
        <v>536290</v>
      </c>
      <c r="E57" s="28">
        <f t="shared" si="5"/>
        <v>0.569909936787932</v>
      </c>
      <c r="F57" s="28">
        <v>0.51480000000000004</v>
      </c>
      <c r="G57" s="150" t="s">
        <v>96</v>
      </c>
      <c r="H57" s="161"/>
      <c r="I57" s="161"/>
      <c r="J57" s="161"/>
      <c r="K57" s="26">
        <v>1500000</v>
      </c>
      <c r="L57" s="79" t="s">
        <v>168</v>
      </c>
      <c r="M57" s="25" t="s">
        <v>157</v>
      </c>
      <c r="N57" s="25" t="s">
        <v>169</v>
      </c>
      <c r="O57" s="203" t="s">
        <v>170</v>
      </c>
      <c r="P57" s="208"/>
    </row>
    <row r="58" spans="1:16" ht="14.25">
      <c r="A58" s="52"/>
      <c r="B58" s="53"/>
      <c r="C58" s="53"/>
      <c r="D58" s="52"/>
      <c r="E58" s="53"/>
      <c r="F58" s="53"/>
      <c r="G58" s="53"/>
      <c r="H58" s="53"/>
      <c r="I58" s="53"/>
      <c r="J58" s="53"/>
      <c r="K58" s="53"/>
      <c r="L58" s="53"/>
      <c r="M58" s="53"/>
      <c r="N58" s="53"/>
      <c r="O58" s="53"/>
      <c r="P58" s="53"/>
    </row>
    <row r="59" spans="1:16" ht="14.25">
      <c r="A59" s="52"/>
      <c r="B59" s="53"/>
      <c r="C59" s="53"/>
      <c r="D59" s="52"/>
      <c r="E59" s="53"/>
      <c r="F59" s="53"/>
      <c r="G59" s="53"/>
      <c r="H59" s="53"/>
      <c r="I59" s="53"/>
      <c r="J59" s="53"/>
      <c r="K59" s="53"/>
      <c r="L59" s="53"/>
      <c r="M59" s="53"/>
      <c r="N59" s="53"/>
      <c r="O59" s="53"/>
      <c r="P59" s="53"/>
    </row>
    <row r="60" spans="1:16" ht="14.25">
      <c r="A60" s="91" t="s">
        <v>97</v>
      </c>
      <c r="B60" s="91" t="s">
        <v>98</v>
      </c>
      <c r="C60" s="91" t="s">
        <v>99</v>
      </c>
      <c r="D60" s="91" t="s">
        <v>100</v>
      </c>
      <c r="E60" s="91" t="s">
        <v>101</v>
      </c>
      <c r="F60" s="162" t="s">
        <v>102</v>
      </c>
      <c r="G60" s="162"/>
      <c r="H60" s="163" t="s">
        <v>21</v>
      </c>
      <c r="I60" s="163"/>
      <c r="J60" s="163"/>
      <c r="K60" s="55" t="s">
        <v>128</v>
      </c>
      <c r="L60" s="55" t="s">
        <v>152</v>
      </c>
      <c r="M60" s="55" t="s">
        <v>153</v>
      </c>
      <c r="N60" s="55" t="s">
        <v>154</v>
      </c>
      <c r="O60" s="55" t="s">
        <v>155</v>
      </c>
      <c r="P60" s="1"/>
    </row>
    <row r="61" spans="1:16" ht="38.25" customHeight="1">
      <c r="A61" s="25" t="s">
        <v>89</v>
      </c>
      <c r="B61" s="26">
        <v>6424</v>
      </c>
      <c r="C61" s="26">
        <v>359590</v>
      </c>
      <c r="D61" s="42">
        <v>57.61</v>
      </c>
      <c r="E61" s="150" t="s">
        <v>206</v>
      </c>
      <c r="F61" s="150" t="s">
        <v>207</v>
      </c>
      <c r="G61" s="150"/>
      <c r="H61" s="150" t="s">
        <v>208</v>
      </c>
      <c r="I61" s="150"/>
      <c r="J61" s="150"/>
      <c r="K61" s="167" t="s">
        <v>209</v>
      </c>
      <c r="L61" s="187" t="s">
        <v>210</v>
      </c>
      <c r="M61" s="164" t="s">
        <v>157</v>
      </c>
      <c r="N61" s="187" t="s">
        <v>211</v>
      </c>
      <c r="O61" s="187" t="s">
        <v>167</v>
      </c>
      <c r="P61" s="1"/>
    </row>
    <row r="62" spans="1:16" ht="18.75" customHeight="1">
      <c r="A62" s="25" t="s">
        <v>19</v>
      </c>
      <c r="B62" s="28">
        <v>1.7359</v>
      </c>
      <c r="C62" s="28">
        <v>0.74480000000000002</v>
      </c>
      <c r="D62" s="28">
        <v>-0.14360000000000001</v>
      </c>
      <c r="E62" s="150"/>
      <c r="F62" s="150"/>
      <c r="G62" s="150"/>
      <c r="H62" s="150"/>
      <c r="I62" s="150"/>
      <c r="J62" s="150"/>
      <c r="K62" s="213"/>
      <c r="L62" s="165"/>
      <c r="M62" s="165"/>
      <c r="N62" s="188"/>
      <c r="O62" s="188"/>
      <c r="P62" s="1"/>
    </row>
    <row r="63" spans="1:16" ht="48.75" customHeight="1">
      <c r="A63" s="25" t="s">
        <v>91</v>
      </c>
      <c r="B63" s="26">
        <v>2584</v>
      </c>
      <c r="C63" s="26">
        <v>193523</v>
      </c>
      <c r="D63" s="102">
        <v>74.89</v>
      </c>
      <c r="E63" s="150" t="s">
        <v>212</v>
      </c>
      <c r="F63" s="150" t="s">
        <v>213</v>
      </c>
      <c r="G63" s="150"/>
      <c r="H63" s="150"/>
      <c r="I63" s="150"/>
      <c r="J63" s="150"/>
      <c r="K63" s="213"/>
      <c r="L63" s="165"/>
      <c r="M63" s="165"/>
      <c r="N63" s="188"/>
      <c r="O63" s="188"/>
      <c r="P63" s="1"/>
    </row>
    <row r="64" spans="1:16" ht="15" customHeight="1">
      <c r="A64" s="25" t="s">
        <v>19</v>
      </c>
      <c r="B64" s="28">
        <v>1.4400999999999999</v>
      </c>
      <c r="C64" s="28">
        <v>0.82869999999999999</v>
      </c>
      <c r="D64" s="103">
        <v>-9.5699999999999993E-2</v>
      </c>
      <c r="E64" s="150"/>
      <c r="F64" s="150"/>
      <c r="G64" s="150"/>
      <c r="H64" s="150"/>
      <c r="I64" s="150"/>
      <c r="J64" s="150"/>
      <c r="K64" s="213"/>
      <c r="L64" s="165"/>
      <c r="M64" s="165"/>
      <c r="N64" s="188"/>
      <c r="O64" s="188"/>
      <c r="P64" s="1"/>
    </row>
    <row r="65" spans="1:16" ht="14.25">
      <c r="A65" s="25" t="s">
        <v>97</v>
      </c>
      <c r="B65" s="26">
        <v>8826</v>
      </c>
      <c r="C65" s="26">
        <v>553114</v>
      </c>
      <c r="D65" s="42">
        <v>62.66</v>
      </c>
      <c r="E65" s="187" t="s">
        <v>214</v>
      </c>
      <c r="F65" s="187"/>
      <c r="G65" s="187"/>
      <c r="H65" s="187"/>
      <c r="I65" s="187"/>
      <c r="J65" s="187"/>
      <c r="K65" s="213"/>
      <c r="L65" s="165"/>
      <c r="M65" s="165"/>
      <c r="N65" s="188"/>
      <c r="O65" s="188"/>
      <c r="P65" s="1"/>
    </row>
    <row r="66" spans="1:16" ht="14.25">
      <c r="A66" s="42" t="s">
        <v>19</v>
      </c>
      <c r="B66" s="28">
        <v>1.5921000000000001</v>
      </c>
      <c r="C66" s="28">
        <v>0.80530000000000002</v>
      </c>
      <c r="D66" s="28">
        <v>-0.1295</v>
      </c>
      <c r="E66" s="187"/>
      <c r="F66" s="187"/>
      <c r="G66" s="187"/>
      <c r="H66" s="187"/>
      <c r="I66" s="187"/>
      <c r="J66" s="187"/>
      <c r="K66" s="168"/>
      <c r="L66" s="165"/>
      <c r="M66" s="165"/>
      <c r="N66" s="188"/>
      <c r="O66" s="188"/>
      <c r="P66" s="1"/>
    </row>
    <row r="69" spans="1:16" ht="14.25">
      <c r="A69" s="165" t="s">
        <v>109</v>
      </c>
      <c r="B69" s="62" t="s">
        <v>110</v>
      </c>
      <c r="C69" s="62" t="s">
        <v>111</v>
      </c>
      <c r="D69" s="62" t="s">
        <v>112</v>
      </c>
      <c r="E69" s="62" t="s">
        <v>113</v>
      </c>
      <c r="F69" s="62" t="s">
        <v>114</v>
      </c>
      <c r="G69" s="62" t="s">
        <v>115</v>
      </c>
    </row>
    <row r="70" spans="1:16" ht="14.25">
      <c r="A70" s="165"/>
      <c r="B70" s="25" t="s">
        <v>215</v>
      </c>
      <c r="C70" s="42">
        <v>3764</v>
      </c>
      <c r="D70" s="42">
        <v>3798</v>
      </c>
      <c r="E70" s="42">
        <v>73392</v>
      </c>
      <c r="F70" s="42">
        <v>11</v>
      </c>
      <c r="G70" s="42">
        <v>811</v>
      </c>
    </row>
    <row r="71" spans="1:16" ht="14.25">
      <c r="A71" s="165"/>
      <c r="B71" s="42" t="s">
        <v>117</v>
      </c>
      <c r="C71" s="42">
        <v>2874</v>
      </c>
      <c r="D71" s="42">
        <v>466</v>
      </c>
      <c r="E71" s="42"/>
      <c r="F71" s="42">
        <v>432</v>
      </c>
      <c r="G71" s="42">
        <v>15520.55</v>
      </c>
    </row>
    <row r="72" spans="1:16" ht="14.25">
      <c r="A72" s="165"/>
      <c r="B72" s="42" t="s">
        <v>118</v>
      </c>
      <c r="C72" s="42">
        <v>2874</v>
      </c>
      <c r="D72" s="42">
        <v>838</v>
      </c>
      <c r="E72" s="42"/>
      <c r="F72" s="42">
        <v>769</v>
      </c>
      <c r="G72" s="42">
        <v>30718.12</v>
      </c>
    </row>
    <row r="73" spans="1:16" ht="14.25">
      <c r="A73" s="165"/>
      <c r="B73" s="165"/>
      <c r="C73" s="165"/>
      <c r="D73" s="165"/>
      <c r="E73" s="165"/>
      <c r="F73" s="165"/>
      <c r="G73" s="165"/>
    </row>
  </sheetData>
  <sheetProtection formatCells="0" formatColumns="0" formatRows="0" insertColumns="0" insertRows="0" insertHyperlinks="0" deleteColumns="0" deleteRows="0" sort="0" autoFilter="0" pivotTables="0"/>
  <mergeCells count="69">
    <mergeCell ref="F61:G62"/>
    <mergeCell ref="F63:G64"/>
    <mergeCell ref="H61:J64"/>
    <mergeCell ref="E65:J66"/>
    <mergeCell ref="K61:K66"/>
    <mergeCell ref="L61:L66"/>
    <mergeCell ref="M61:M66"/>
    <mergeCell ref="N61:N66"/>
    <mergeCell ref="O61:O66"/>
    <mergeCell ref="A73:G73"/>
    <mergeCell ref="A16:A17"/>
    <mergeCell ref="A18:A19"/>
    <mergeCell ref="A20:A23"/>
    <mergeCell ref="A30:A36"/>
    <mergeCell ref="A37:A42"/>
    <mergeCell ref="A43:A45"/>
    <mergeCell ref="A46:A49"/>
    <mergeCell ref="A54:A55"/>
    <mergeCell ref="A56:A57"/>
    <mergeCell ref="A69:A72"/>
    <mergeCell ref="E61:E62"/>
    <mergeCell ref="E63:E64"/>
    <mergeCell ref="G16:J17"/>
    <mergeCell ref="G20:J22"/>
    <mergeCell ref="A24:J25"/>
    <mergeCell ref="G56:J56"/>
    <mergeCell ref="O56:P56"/>
    <mergeCell ref="G57:J57"/>
    <mergeCell ref="O57:P57"/>
    <mergeCell ref="F60:G60"/>
    <mergeCell ref="H60:J60"/>
    <mergeCell ref="A53:B53"/>
    <mergeCell ref="G53:J53"/>
    <mergeCell ref="O53:P53"/>
    <mergeCell ref="O54:P54"/>
    <mergeCell ref="O55:P55"/>
    <mergeCell ref="G54:J55"/>
    <mergeCell ref="H34:K34"/>
    <mergeCell ref="H35:K35"/>
    <mergeCell ref="H36:K36"/>
    <mergeCell ref="H45:K45"/>
    <mergeCell ref="A52:J52"/>
    <mergeCell ref="K52:P52"/>
    <mergeCell ref="P30:P36"/>
    <mergeCell ref="P37:P42"/>
    <mergeCell ref="P43:P44"/>
    <mergeCell ref="P46:P47"/>
    <mergeCell ref="P48:P49"/>
    <mergeCell ref="H37:K40"/>
    <mergeCell ref="H41:K42"/>
    <mergeCell ref="H43:K44"/>
    <mergeCell ref="H46:K47"/>
    <mergeCell ref="H48:K49"/>
    <mergeCell ref="H29:K29"/>
    <mergeCell ref="H30:K30"/>
    <mergeCell ref="H31:K31"/>
    <mergeCell ref="H32:K32"/>
    <mergeCell ref="H33:K33"/>
    <mergeCell ref="G18:J18"/>
    <mergeCell ref="G19:J19"/>
    <mergeCell ref="G23:J23"/>
    <mergeCell ref="A28:K28"/>
    <mergeCell ref="L28:P28"/>
    <mergeCell ref="A1:J1"/>
    <mergeCell ref="H2:J2"/>
    <mergeCell ref="A14:J14"/>
    <mergeCell ref="A15:B15"/>
    <mergeCell ref="G15:J15"/>
    <mergeCell ref="H3:J8"/>
  </mergeCells>
  <phoneticPr fontId="15" type="noConversion"/>
  <pageMargins left="0.75" right="0.75" top="1" bottom="1" header="0.5" footer="0.5"/>
  <ignoredErrors>
    <ignoredError sqref="E57" evalError="1"/>
    <ignoredError sqref="E4" formula="1"/>
  </ignoredError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R80"/>
  <sheetViews>
    <sheetView zoomScale="70" zoomScaleNormal="70" workbookViewId="0">
      <selection activeCell="D29" sqref="D29"/>
    </sheetView>
  </sheetViews>
  <sheetFormatPr defaultColWidth="9" defaultRowHeight="13.5"/>
  <cols>
    <col min="1" max="1" width="13.5" customWidth="1"/>
    <col min="2" max="2" width="13.25" customWidth="1"/>
    <col min="3" max="3" width="23.125" customWidth="1"/>
    <col min="4" max="4" width="11.125"/>
    <col min="5" max="5" width="19.125" customWidth="1"/>
    <col min="6" max="6" width="19.625" customWidth="1"/>
    <col min="7" max="7" width="20.25" customWidth="1"/>
    <col min="8" max="8" width="14" customWidth="1"/>
    <col min="9" max="10" width="13.875" customWidth="1"/>
    <col min="12" max="12" width="12.25" customWidth="1"/>
    <col min="13" max="13" width="16.375" customWidth="1"/>
    <col min="14" max="14" width="18" customWidth="1"/>
    <col min="15" max="15" width="19.875" customWidth="1"/>
    <col min="16" max="16" width="19.125" customWidth="1"/>
  </cols>
  <sheetData>
    <row r="1" spans="1:10" ht="14.25" customHeight="1">
      <c r="A1" s="136" t="s">
        <v>216</v>
      </c>
      <c r="B1" s="137"/>
      <c r="C1" s="137"/>
      <c r="D1" s="137"/>
      <c r="E1" s="137"/>
      <c r="F1" s="137"/>
      <c r="G1" s="137"/>
    </row>
    <row r="2" spans="1:10" ht="14.25">
      <c r="A2" s="4" t="s">
        <v>1</v>
      </c>
      <c r="B2" s="4" t="s">
        <v>2</v>
      </c>
      <c r="C2" s="4" t="s">
        <v>3</v>
      </c>
      <c r="D2" s="4" t="s">
        <v>4</v>
      </c>
      <c r="E2" s="4" t="s">
        <v>5</v>
      </c>
      <c r="F2" s="4" t="s">
        <v>6</v>
      </c>
      <c r="G2" s="4" t="s">
        <v>7</v>
      </c>
    </row>
    <row r="3" spans="1:10" ht="14.25">
      <c r="A3" s="5" t="s">
        <v>9</v>
      </c>
      <c r="B3" s="5">
        <v>1636</v>
      </c>
      <c r="C3" s="5">
        <v>1362</v>
      </c>
      <c r="D3" s="7">
        <f t="shared" ref="D3:D9" si="0">(C3-B3)/B3</f>
        <v>-0.16748166259168701</v>
      </c>
      <c r="E3" s="7">
        <f>B3/(B3+B4+B5)</f>
        <v>0.253142228487166</v>
      </c>
      <c r="F3" s="7">
        <f>C3/(C3+C4+C5)</f>
        <v>0.18976151630876201</v>
      </c>
      <c r="G3" s="7">
        <f>F3-E3</f>
        <v>-6.33807121784037E-2</v>
      </c>
    </row>
    <row r="4" spans="1:10" ht="14.25">
      <c r="A4" s="8" t="s">
        <v>11</v>
      </c>
      <c r="B4" s="5">
        <v>4214</v>
      </c>
      <c r="C4" s="5">
        <v>5198</v>
      </c>
      <c r="D4" s="7">
        <f t="shared" si="0"/>
        <v>0.233507356430944</v>
      </c>
      <c r="E4" s="7">
        <f>B4/(B4+B5+B3)</f>
        <v>0.65204239049200297</v>
      </c>
      <c r="F4" s="7">
        <f>C4/(C3+C4+C5)</f>
        <v>0.72421465622095904</v>
      </c>
      <c r="G4" s="7">
        <f>F4-E4</f>
        <v>7.2172265728956297E-2</v>
      </c>
    </row>
    <row r="5" spans="1:10" ht="14.25">
      <c r="A5" s="8" t="s">
        <v>12</v>
      </c>
      <c r="B5" s="12">
        <v>612.77</v>
      </c>
      <c r="C5" s="12">
        <v>617.42999999999995</v>
      </c>
      <c r="D5" s="7">
        <f t="shared" si="0"/>
        <v>7.6048109404833301E-3</v>
      </c>
      <c r="E5" s="13">
        <f>B5/(B5+B4+B3)</f>
        <v>9.4815381020831604E-2</v>
      </c>
      <c r="F5" s="13">
        <f>C5/(C3+C4+C5)</f>
        <v>8.6023827470278397E-2</v>
      </c>
      <c r="G5" s="13">
        <f>F5-E5</f>
        <v>-8.7915535505532494E-3</v>
      </c>
    </row>
    <row r="6" spans="1:10" ht="14.25">
      <c r="A6" s="8" t="s">
        <v>13</v>
      </c>
      <c r="B6" s="12">
        <v>418</v>
      </c>
      <c r="C6" s="14">
        <v>486.6</v>
      </c>
      <c r="D6" s="15">
        <f t="shared" si="0"/>
        <v>0.16411483253588499</v>
      </c>
      <c r="E6" s="249" t="s">
        <v>217</v>
      </c>
      <c r="F6" s="250"/>
      <c r="G6" s="250"/>
    </row>
    <row r="7" spans="1:10" ht="14.25">
      <c r="A7" s="8" t="s">
        <v>14</v>
      </c>
      <c r="B7" s="12">
        <v>386.1</v>
      </c>
      <c r="C7" s="14">
        <v>459.9</v>
      </c>
      <c r="D7" s="15">
        <f t="shared" si="0"/>
        <v>0.191142191142191</v>
      </c>
      <c r="E7" s="250"/>
      <c r="F7" s="250"/>
      <c r="G7" s="250"/>
    </row>
    <row r="8" spans="1:10" ht="14.25">
      <c r="A8" s="16">
        <v>46081</v>
      </c>
      <c r="B8" s="8">
        <v>58.2</v>
      </c>
      <c r="C8" s="8">
        <v>23.3</v>
      </c>
      <c r="D8" s="15">
        <f t="shared" si="0"/>
        <v>-0.59965635738831602</v>
      </c>
      <c r="E8" s="250"/>
      <c r="F8" s="250"/>
      <c r="G8" s="250"/>
    </row>
    <row r="9" spans="1:10" ht="14.25">
      <c r="A9" s="8" t="s">
        <v>218</v>
      </c>
      <c r="B9" s="8">
        <v>50.1</v>
      </c>
      <c r="C9" s="8">
        <v>21.8</v>
      </c>
      <c r="D9" s="15">
        <f t="shared" si="0"/>
        <v>-0.56487025948103797</v>
      </c>
      <c r="E9" s="250"/>
      <c r="F9" s="250"/>
      <c r="G9" s="250"/>
    </row>
    <row r="13" spans="1:10" ht="14.25">
      <c r="A13" s="141" t="s">
        <v>219</v>
      </c>
      <c r="B13" s="142"/>
      <c r="C13" s="142"/>
      <c r="D13" s="143"/>
      <c r="E13" s="142"/>
      <c r="F13" s="142"/>
      <c r="G13" s="142"/>
      <c r="H13" s="142"/>
      <c r="I13" s="142"/>
      <c r="J13" s="144"/>
    </row>
    <row r="14" spans="1:10" ht="14.25">
      <c r="A14" s="244" t="s">
        <v>1</v>
      </c>
      <c r="B14" s="244"/>
      <c r="C14" s="23" t="s">
        <v>17</v>
      </c>
      <c r="D14" s="23" t="s">
        <v>18</v>
      </c>
      <c r="E14" s="23" t="s">
        <v>19</v>
      </c>
      <c r="F14" s="23" t="s">
        <v>20</v>
      </c>
      <c r="G14" s="145" t="s">
        <v>21</v>
      </c>
      <c r="H14" s="145"/>
      <c r="I14" s="145"/>
      <c r="J14" s="145"/>
    </row>
    <row r="15" spans="1:10" ht="22.35" customHeight="1">
      <c r="A15" s="164" t="s">
        <v>22</v>
      </c>
      <c r="B15" s="25" t="s">
        <v>23</v>
      </c>
      <c r="C15" s="26">
        <v>1957675</v>
      </c>
      <c r="D15" s="26">
        <v>1308277</v>
      </c>
      <c r="E15" s="27">
        <f>(C15-D15)/D15</f>
        <v>0.49637653188124498</v>
      </c>
      <c r="F15" s="28">
        <v>0.40480142622051601</v>
      </c>
      <c r="G15" s="228" t="s">
        <v>220</v>
      </c>
      <c r="H15" s="182"/>
      <c r="I15" s="182"/>
      <c r="J15" s="183"/>
    </row>
    <row r="16" spans="1:10" ht="29.1" customHeight="1">
      <c r="A16" s="164"/>
      <c r="B16" s="25" t="s">
        <v>25</v>
      </c>
      <c r="C16" s="26">
        <v>117466</v>
      </c>
      <c r="D16" s="26">
        <v>123638</v>
      </c>
      <c r="E16" s="27">
        <f>(C16-D16)/D16</f>
        <v>-4.9919927530370903E-2</v>
      </c>
      <c r="F16" s="28">
        <v>2.15364783324191E-2</v>
      </c>
      <c r="G16" s="184"/>
      <c r="H16" s="185"/>
      <c r="I16" s="185"/>
      <c r="J16" s="186"/>
    </row>
    <row r="17" spans="1:18" ht="31.35" customHeight="1">
      <c r="A17" s="164" t="s">
        <v>26</v>
      </c>
      <c r="B17" s="25" t="s">
        <v>27</v>
      </c>
      <c r="C17" s="26">
        <v>2039671.61</v>
      </c>
      <c r="D17" s="26">
        <v>1577360.67</v>
      </c>
      <c r="E17" s="27">
        <f>(C17-D17)/D17</f>
        <v>0.29309145891154997</v>
      </c>
      <c r="F17" s="28">
        <v>0.39243300054854602</v>
      </c>
      <c r="G17" s="146" t="s">
        <v>221</v>
      </c>
      <c r="H17" s="147"/>
      <c r="I17" s="147"/>
      <c r="J17" s="147"/>
    </row>
    <row r="18" spans="1:18" ht="23.85" customHeight="1">
      <c r="A18" s="164"/>
      <c r="B18" s="25" t="s">
        <v>29</v>
      </c>
      <c r="C18" s="26">
        <v>474053.77</v>
      </c>
      <c r="D18" s="26">
        <v>343328.98</v>
      </c>
      <c r="E18" s="27">
        <f>(C18-D18)/D18</f>
        <v>0.38075664338035198</v>
      </c>
      <c r="F18" s="28">
        <v>8.1198162369720203E-2</v>
      </c>
      <c r="G18" s="146" t="s">
        <v>222</v>
      </c>
      <c r="H18" s="147"/>
      <c r="I18" s="147"/>
      <c r="J18" s="147"/>
    </row>
    <row r="19" spans="1:18" ht="14.25">
      <c r="A19" s="164" t="s">
        <v>31</v>
      </c>
      <c r="B19" s="25" t="s">
        <v>34</v>
      </c>
      <c r="C19" s="26">
        <v>539338.09</v>
      </c>
      <c r="D19" s="29">
        <v>0</v>
      </c>
      <c r="E19" s="27"/>
      <c r="F19" s="28">
        <v>6.8247235326385103E-2</v>
      </c>
      <c r="G19" s="195" t="s">
        <v>223</v>
      </c>
      <c r="H19" s="176"/>
      <c r="I19" s="176"/>
      <c r="J19" s="177"/>
    </row>
    <row r="20" spans="1:18" ht="14.25">
      <c r="A20" s="164"/>
      <c r="B20" s="25" t="s">
        <v>36</v>
      </c>
      <c r="C20" s="26">
        <v>173198</v>
      </c>
      <c r="D20" s="26">
        <v>19516</v>
      </c>
      <c r="E20" s="27">
        <f>(C20-D20)/D20</f>
        <v>7.8746669399467102</v>
      </c>
      <c r="F20" s="28">
        <v>4.0258913878222703E-2</v>
      </c>
      <c r="G20" s="195"/>
      <c r="H20" s="176"/>
      <c r="I20" s="176"/>
      <c r="J20" s="177"/>
    </row>
    <row r="21" spans="1:18" ht="14.25">
      <c r="A21" s="164"/>
      <c r="B21" s="25" t="s">
        <v>37</v>
      </c>
      <c r="C21" s="26">
        <v>405000</v>
      </c>
      <c r="D21" s="26">
        <v>489000</v>
      </c>
      <c r="E21" s="27">
        <f>(C21-D21)/D21</f>
        <v>-0.17177914110429399</v>
      </c>
      <c r="F21" s="28">
        <v>6.1985737794843697E-2</v>
      </c>
      <c r="G21" s="150" t="s">
        <v>185</v>
      </c>
      <c r="H21" s="161"/>
      <c r="I21" s="161"/>
      <c r="J21" s="161"/>
    </row>
    <row r="26" spans="1:18" ht="14.25">
      <c r="A26" s="245" t="s">
        <v>224</v>
      </c>
      <c r="B26" s="246"/>
      <c r="C26" s="246"/>
      <c r="D26" s="246"/>
      <c r="E26" s="246"/>
      <c r="F26" s="246"/>
      <c r="G26" s="246"/>
      <c r="H26" s="246"/>
      <c r="I26" s="246"/>
      <c r="J26" s="246"/>
      <c r="K26" s="246"/>
      <c r="L26" s="246"/>
      <c r="M26" s="247"/>
      <c r="N26" s="247"/>
      <c r="O26" s="248"/>
    </row>
    <row r="27" spans="1:18" ht="14.25">
      <c r="A27" s="32" t="s">
        <v>41</v>
      </c>
      <c r="B27" s="32" t="s">
        <v>42</v>
      </c>
      <c r="C27" s="32" t="s">
        <v>43</v>
      </c>
      <c r="D27" s="86" t="s">
        <v>128</v>
      </c>
      <c r="E27" s="32" t="s">
        <v>225</v>
      </c>
      <c r="F27" s="32" t="s">
        <v>129</v>
      </c>
      <c r="G27" s="32" t="s">
        <v>19</v>
      </c>
      <c r="H27" s="32" t="s">
        <v>20</v>
      </c>
      <c r="I27" s="153" t="s">
        <v>21</v>
      </c>
      <c r="J27" s="153"/>
      <c r="K27" s="153"/>
      <c r="L27" s="153"/>
      <c r="M27" s="32" t="s">
        <v>226</v>
      </c>
      <c r="N27" s="32" t="s">
        <v>129</v>
      </c>
      <c r="O27" s="32" t="s">
        <v>227</v>
      </c>
      <c r="P27" s="153" t="s">
        <v>131</v>
      </c>
      <c r="Q27" s="153"/>
      <c r="R27" s="153"/>
    </row>
    <row r="28" spans="1:18" ht="14.25">
      <c r="A28" s="212" t="s">
        <v>44</v>
      </c>
      <c r="B28" s="128" t="s">
        <v>45</v>
      </c>
      <c r="C28" s="34" t="s">
        <v>46</v>
      </c>
      <c r="D28" s="99">
        <v>850000</v>
      </c>
      <c r="E28" s="99">
        <v>1055244</v>
      </c>
      <c r="F28" s="36">
        <v>464173</v>
      </c>
      <c r="G28" s="37">
        <f t="shared" ref="G28:G31" si="1">(E28-F28)/F28</f>
        <v>1.2733851387306001</v>
      </c>
      <c r="H28" s="37">
        <v>0.216850460592792</v>
      </c>
      <c r="I28" s="189" t="s">
        <v>228</v>
      </c>
      <c r="J28" s="190"/>
      <c r="K28" s="190"/>
      <c r="L28" s="191"/>
      <c r="M28" s="64">
        <v>1200000</v>
      </c>
      <c r="N28" s="64">
        <v>622203</v>
      </c>
      <c r="O28" s="92">
        <f t="shared" ref="O28:O31" si="2">(M28-N28)/N28</f>
        <v>0.92863100949368604</v>
      </c>
      <c r="P28" s="150" t="s">
        <v>229</v>
      </c>
      <c r="Q28" s="150"/>
      <c r="R28" s="150"/>
    </row>
    <row r="29" spans="1:18" ht="14.25">
      <c r="A29" s="213"/>
      <c r="B29" s="129" t="s">
        <v>48</v>
      </c>
      <c r="C29" s="43" t="s">
        <v>49</v>
      </c>
      <c r="D29" s="100">
        <v>200000</v>
      </c>
      <c r="E29" s="100">
        <v>314863</v>
      </c>
      <c r="F29" s="26">
        <v>158508</v>
      </c>
      <c r="G29" s="27">
        <f t="shared" si="1"/>
        <v>0.986417089358266</v>
      </c>
      <c r="H29" s="38">
        <v>6.4703695613174003E-2</v>
      </c>
      <c r="I29" s="192"/>
      <c r="J29" s="193"/>
      <c r="K29" s="193"/>
      <c r="L29" s="194"/>
      <c r="M29" s="64">
        <v>300000</v>
      </c>
      <c r="N29" s="64">
        <v>179348</v>
      </c>
      <c r="O29" s="92">
        <f t="shared" si="2"/>
        <v>0.67272565069027801</v>
      </c>
      <c r="P29" s="150"/>
      <c r="Q29" s="150"/>
      <c r="R29" s="150"/>
    </row>
    <row r="30" spans="1:18" ht="14.25">
      <c r="A30" s="213"/>
      <c r="B30" s="129" t="s">
        <v>50</v>
      </c>
      <c r="C30" s="43" t="s">
        <v>51</v>
      </c>
      <c r="D30" s="26">
        <v>500000</v>
      </c>
      <c r="E30" s="26">
        <v>477626</v>
      </c>
      <c r="F30" s="26">
        <v>793773</v>
      </c>
      <c r="G30" s="27">
        <f t="shared" si="1"/>
        <v>-0.39828389224627198</v>
      </c>
      <c r="H30" s="38">
        <v>9.8151155648449798E-2</v>
      </c>
      <c r="I30" s="231" t="s">
        <v>191</v>
      </c>
      <c r="J30" s="232"/>
      <c r="K30" s="232"/>
      <c r="L30" s="233"/>
      <c r="M30" s="64">
        <v>500000</v>
      </c>
      <c r="N30" s="64">
        <v>838668</v>
      </c>
      <c r="O30" s="92">
        <f t="shared" si="2"/>
        <v>-0.403816528113628</v>
      </c>
      <c r="P30" s="150"/>
      <c r="Q30" s="150"/>
      <c r="R30" s="150"/>
    </row>
    <row r="31" spans="1:18" ht="14.25">
      <c r="A31" s="213"/>
      <c r="B31" s="129" t="s">
        <v>53</v>
      </c>
      <c r="C31" s="43" t="s">
        <v>54</v>
      </c>
      <c r="D31" s="100">
        <v>200000</v>
      </c>
      <c r="E31" s="100">
        <v>209419</v>
      </c>
      <c r="F31" s="26">
        <v>194284</v>
      </c>
      <c r="G31" s="27">
        <f t="shared" si="1"/>
        <v>7.7901422659611697E-2</v>
      </c>
      <c r="H31" s="38">
        <v>4.30351715876914E-2</v>
      </c>
      <c r="I31" s="231" t="s">
        <v>230</v>
      </c>
      <c r="J31" s="232"/>
      <c r="K31" s="232"/>
      <c r="L31" s="233"/>
      <c r="M31" s="64">
        <v>400000</v>
      </c>
      <c r="N31" s="64">
        <v>210965</v>
      </c>
      <c r="O31" s="92">
        <f t="shared" si="2"/>
        <v>0.89604910767188894</v>
      </c>
      <c r="P31" s="150"/>
      <c r="Q31" s="150"/>
      <c r="R31" s="150"/>
    </row>
    <row r="32" spans="1:18" ht="14.25">
      <c r="A32" s="213"/>
      <c r="B32" s="129" t="s">
        <v>55</v>
      </c>
      <c r="C32" s="43" t="s">
        <v>56</v>
      </c>
      <c r="D32" s="26">
        <v>500000</v>
      </c>
      <c r="E32" s="26">
        <v>113386</v>
      </c>
      <c r="F32" s="29" t="s">
        <v>57</v>
      </c>
      <c r="G32" s="29" t="s">
        <v>57</v>
      </c>
      <c r="H32" s="38">
        <v>2.3300588607728899E-2</v>
      </c>
      <c r="I32" s="150" t="s">
        <v>231</v>
      </c>
      <c r="J32" s="150"/>
      <c r="K32" s="150"/>
      <c r="L32" s="150"/>
      <c r="M32" s="64">
        <v>120000</v>
      </c>
      <c r="N32" s="64" t="s">
        <v>57</v>
      </c>
      <c r="O32" s="64" t="s">
        <v>57</v>
      </c>
      <c r="P32" s="150"/>
      <c r="Q32" s="150"/>
      <c r="R32" s="150"/>
    </row>
    <row r="33" spans="1:18" ht="14.25">
      <c r="A33" s="213"/>
      <c r="B33" s="130" t="s">
        <v>137</v>
      </c>
      <c r="C33" s="43" t="s">
        <v>138</v>
      </c>
      <c r="D33" s="26">
        <v>100000</v>
      </c>
      <c r="E33" s="26">
        <v>12733</v>
      </c>
      <c r="F33" s="29" t="s">
        <v>57</v>
      </c>
      <c r="G33" s="29" t="s">
        <v>57</v>
      </c>
      <c r="H33" s="38">
        <v>2.6166051782602101E-3</v>
      </c>
      <c r="I33" s="203"/>
      <c r="J33" s="204"/>
      <c r="K33" s="204"/>
      <c r="L33" s="205"/>
      <c r="M33" s="64">
        <v>30000</v>
      </c>
      <c r="N33" s="64" t="s">
        <v>57</v>
      </c>
      <c r="O33" s="64" t="s">
        <v>57</v>
      </c>
      <c r="P33" s="150"/>
      <c r="Q33" s="150"/>
      <c r="R33" s="150"/>
    </row>
    <row r="34" spans="1:18" ht="14.25">
      <c r="A34" s="168"/>
      <c r="B34" s="129" t="s">
        <v>232</v>
      </c>
      <c r="C34" s="43" t="s">
        <v>233</v>
      </c>
      <c r="D34" s="26">
        <v>160000</v>
      </c>
      <c r="E34" s="26">
        <v>80086</v>
      </c>
      <c r="F34" s="29" t="s">
        <v>57</v>
      </c>
      <c r="G34" s="28"/>
      <c r="H34" s="38">
        <v>1.64575074457038E-2</v>
      </c>
      <c r="I34" s="203" t="s">
        <v>234</v>
      </c>
      <c r="J34" s="204"/>
      <c r="K34" s="204"/>
      <c r="L34" s="205"/>
      <c r="M34" s="64">
        <v>130000</v>
      </c>
      <c r="N34" s="64" t="s">
        <v>57</v>
      </c>
      <c r="O34" s="64" t="s">
        <v>57</v>
      </c>
      <c r="P34" s="150"/>
      <c r="Q34" s="150"/>
      <c r="R34" s="150"/>
    </row>
    <row r="35" spans="1:18" ht="14.25">
      <c r="A35" s="165" t="s">
        <v>59</v>
      </c>
      <c r="B35" s="129" t="s">
        <v>60</v>
      </c>
      <c r="C35" s="43" t="s">
        <v>61</v>
      </c>
      <c r="D35" s="26">
        <v>70000</v>
      </c>
      <c r="E35" s="26">
        <v>43921</v>
      </c>
      <c r="F35" s="26">
        <v>52119</v>
      </c>
      <c r="G35" s="28">
        <f t="shared" ref="G35:G42" si="3">(E35-F35)/F35</f>
        <v>-0.15729388514745099</v>
      </c>
      <c r="H35" s="38">
        <v>9.0256747062252892E-3</v>
      </c>
      <c r="I35" s="150" t="s">
        <v>235</v>
      </c>
      <c r="J35" s="161"/>
      <c r="K35" s="161"/>
      <c r="L35" s="161"/>
      <c r="M35" s="64">
        <v>65000</v>
      </c>
      <c r="N35" s="87">
        <v>62029</v>
      </c>
      <c r="O35" s="92">
        <f t="shared" ref="O35:O42" si="4">(M35-N35)/N35</f>
        <v>4.7896951425945897E-2</v>
      </c>
      <c r="P35" s="187" t="s">
        <v>195</v>
      </c>
      <c r="Q35" s="187"/>
      <c r="R35" s="187"/>
    </row>
    <row r="36" spans="1:18" ht="14.25">
      <c r="A36" s="165"/>
      <c r="B36" s="129" t="s">
        <v>63</v>
      </c>
      <c r="C36" s="43" t="s">
        <v>64</v>
      </c>
      <c r="D36" s="26">
        <v>20000</v>
      </c>
      <c r="E36" s="26">
        <v>13235</v>
      </c>
      <c r="F36" s="26">
        <v>18609</v>
      </c>
      <c r="G36" s="28">
        <f t="shared" si="3"/>
        <v>-0.28878499650706602</v>
      </c>
      <c r="H36" s="38">
        <v>2.71976514052257E-3</v>
      </c>
      <c r="I36" s="161"/>
      <c r="J36" s="161"/>
      <c r="K36" s="161"/>
      <c r="L36" s="161"/>
      <c r="M36" s="64">
        <v>10000</v>
      </c>
      <c r="N36" s="87">
        <v>18340</v>
      </c>
      <c r="O36" s="92">
        <f t="shared" si="4"/>
        <v>-0.45474372955289</v>
      </c>
      <c r="P36" s="187"/>
      <c r="Q36" s="187"/>
      <c r="R36" s="187"/>
    </row>
    <row r="37" spans="1:18" ht="14.25">
      <c r="A37" s="165"/>
      <c r="B37" s="129" t="s">
        <v>65</v>
      </c>
      <c r="C37" s="43" t="s">
        <v>66</v>
      </c>
      <c r="D37" s="100">
        <v>80000</v>
      </c>
      <c r="E37" s="100">
        <v>85218</v>
      </c>
      <c r="F37" s="26">
        <v>90139</v>
      </c>
      <c r="G37" s="28">
        <f t="shared" si="3"/>
        <v>-5.45934612099091E-2</v>
      </c>
      <c r="H37" s="38">
        <v>1.7512122836800301E-2</v>
      </c>
      <c r="I37" s="161"/>
      <c r="J37" s="161"/>
      <c r="K37" s="161"/>
      <c r="L37" s="161"/>
      <c r="M37" s="64">
        <v>80000</v>
      </c>
      <c r="N37" s="87">
        <v>71865</v>
      </c>
      <c r="O37" s="92">
        <f t="shared" si="4"/>
        <v>0.11319835803242199</v>
      </c>
      <c r="P37" s="187"/>
      <c r="Q37" s="187"/>
      <c r="R37" s="187"/>
    </row>
    <row r="38" spans="1:18" ht="14.25">
      <c r="A38" s="165"/>
      <c r="B38" s="129" t="s">
        <v>67</v>
      </c>
      <c r="C38" s="43" t="s">
        <v>68</v>
      </c>
      <c r="D38" s="26">
        <v>55000</v>
      </c>
      <c r="E38" s="26">
        <v>30272</v>
      </c>
      <c r="F38" s="26">
        <v>33005</v>
      </c>
      <c r="G38" s="28">
        <f t="shared" si="3"/>
        <v>-8.28056355097712E-2</v>
      </c>
      <c r="H38" s="38">
        <v>6.2208334215261996E-3</v>
      </c>
      <c r="I38" s="161"/>
      <c r="J38" s="161"/>
      <c r="K38" s="161"/>
      <c r="L38" s="161"/>
      <c r="M38" s="64">
        <v>15000</v>
      </c>
      <c r="N38" s="87">
        <v>28099</v>
      </c>
      <c r="O38" s="92">
        <f t="shared" si="4"/>
        <v>-0.466173173422542</v>
      </c>
      <c r="P38" s="187"/>
      <c r="Q38" s="187"/>
      <c r="R38" s="187"/>
    </row>
    <row r="39" spans="1:18" ht="14.25">
      <c r="A39" s="165"/>
      <c r="B39" s="129" t="s">
        <v>69</v>
      </c>
      <c r="C39" s="43" t="s">
        <v>70</v>
      </c>
      <c r="D39" s="100">
        <v>57897</v>
      </c>
      <c r="E39" s="100">
        <v>71085</v>
      </c>
      <c r="F39" s="26">
        <v>72592</v>
      </c>
      <c r="G39" s="28">
        <f t="shared" si="3"/>
        <v>-2.07598633458232E-2</v>
      </c>
      <c r="H39" s="38">
        <v>1.46078205526292E-2</v>
      </c>
      <c r="I39" s="150" t="s">
        <v>236</v>
      </c>
      <c r="J39" s="161"/>
      <c r="K39" s="161"/>
      <c r="L39" s="161"/>
      <c r="M39" s="87">
        <v>90000</v>
      </c>
      <c r="N39" s="87">
        <v>84197</v>
      </c>
      <c r="O39" s="92">
        <f t="shared" si="4"/>
        <v>6.8921695547347298E-2</v>
      </c>
      <c r="P39" s="187"/>
      <c r="Q39" s="187"/>
      <c r="R39" s="187"/>
    </row>
    <row r="40" spans="1:18" ht="14.25">
      <c r="A40" s="165"/>
      <c r="B40" s="129" t="s">
        <v>72</v>
      </c>
      <c r="C40" s="43" t="s">
        <v>73</v>
      </c>
      <c r="D40" s="26">
        <v>35000</v>
      </c>
      <c r="E40" s="26">
        <v>28849</v>
      </c>
      <c r="F40" s="26">
        <v>23069</v>
      </c>
      <c r="G40" s="28">
        <f t="shared" si="3"/>
        <v>0.25055268975681599</v>
      </c>
      <c r="H40" s="38">
        <v>5.9284098631609801E-3</v>
      </c>
      <c r="I40" s="161"/>
      <c r="J40" s="161"/>
      <c r="K40" s="161"/>
      <c r="L40" s="161"/>
      <c r="M40" s="87">
        <v>30000</v>
      </c>
      <c r="N40" s="87">
        <v>37448</v>
      </c>
      <c r="O40" s="92">
        <f t="shared" si="4"/>
        <v>-0.19888912625507399</v>
      </c>
      <c r="P40" s="187"/>
      <c r="Q40" s="187"/>
      <c r="R40" s="187"/>
    </row>
    <row r="41" spans="1:18" ht="18.95" customHeight="1">
      <c r="A41" s="167" t="s">
        <v>74</v>
      </c>
      <c r="B41" s="48">
        <v>100127194542</v>
      </c>
      <c r="C41" s="43" t="s">
        <v>75</v>
      </c>
      <c r="D41" s="26">
        <v>45000</v>
      </c>
      <c r="E41" s="26">
        <v>31210</v>
      </c>
      <c r="F41" s="26">
        <v>23819</v>
      </c>
      <c r="G41" s="28">
        <f t="shared" si="3"/>
        <v>0.31029850119652402</v>
      </c>
      <c r="H41" s="38">
        <v>6.4135904824865397E-3</v>
      </c>
      <c r="I41" s="150" t="s">
        <v>237</v>
      </c>
      <c r="J41" s="161"/>
      <c r="K41" s="161"/>
      <c r="L41" s="161"/>
      <c r="M41" s="87">
        <v>30000</v>
      </c>
      <c r="N41" s="87">
        <v>24490</v>
      </c>
      <c r="O41" s="92">
        <f t="shared" si="4"/>
        <v>0.224989791751735</v>
      </c>
      <c r="P41" s="187" t="s">
        <v>238</v>
      </c>
      <c r="Q41" s="187"/>
      <c r="R41" s="187"/>
    </row>
    <row r="42" spans="1:18" ht="24.2" customHeight="1">
      <c r="A42" s="169"/>
      <c r="B42" s="48">
        <v>100150693764</v>
      </c>
      <c r="C42" s="49" t="s">
        <v>77</v>
      </c>
      <c r="D42" s="100">
        <v>16000</v>
      </c>
      <c r="E42" s="100">
        <v>24677</v>
      </c>
      <c r="F42" s="26">
        <v>36519</v>
      </c>
      <c r="G42" s="28">
        <f t="shared" si="3"/>
        <v>-0.32426955831211202</v>
      </c>
      <c r="H42" s="38">
        <v>5.07107248754631E-3</v>
      </c>
      <c r="I42" s="161"/>
      <c r="J42" s="161"/>
      <c r="K42" s="161"/>
      <c r="L42" s="161"/>
      <c r="M42" s="87">
        <v>50000</v>
      </c>
      <c r="N42" s="87">
        <v>42440</v>
      </c>
      <c r="O42" s="92">
        <f t="shared" si="4"/>
        <v>0.17813383600377</v>
      </c>
      <c r="P42" s="187"/>
      <c r="Q42" s="187"/>
      <c r="R42" s="187"/>
    </row>
    <row r="43" spans="1:18" ht="14.25">
      <c r="A43" s="166"/>
      <c r="B43" s="48"/>
      <c r="C43" s="93" t="s">
        <v>239</v>
      </c>
      <c r="D43" s="26">
        <v>10000</v>
      </c>
      <c r="E43" s="26"/>
      <c r="F43" s="26"/>
      <c r="G43" s="28"/>
      <c r="H43" s="38">
        <v>0</v>
      </c>
      <c r="I43" s="234"/>
      <c r="J43" s="235"/>
      <c r="K43" s="235"/>
      <c r="L43" s="236"/>
      <c r="M43" s="87">
        <v>3000</v>
      </c>
      <c r="N43" s="64" t="s">
        <v>57</v>
      </c>
      <c r="O43" s="92"/>
      <c r="P43" s="164" t="s">
        <v>240</v>
      </c>
      <c r="Q43" s="164"/>
      <c r="R43" s="164"/>
    </row>
    <row r="44" spans="1:18" ht="14.25">
      <c r="A44" s="164" t="s">
        <v>78</v>
      </c>
      <c r="B44" s="129" t="s">
        <v>79</v>
      </c>
      <c r="C44" s="43" t="s">
        <v>80</v>
      </c>
      <c r="D44" s="100">
        <v>25000</v>
      </c>
      <c r="E44" s="100">
        <v>26101</v>
      </c>
      <c r="F44" s="29" t="s">
        <v>57</v>
      </c>
      <c r="G44" s="29" t="s">
        <v>57</v>
      </c>
      <c r="H44" s="38">
        <v>5.3637015438443196E-3</v>
      </c>
      <c r="I44" s="189" t="s">
        <v>146</v>
      </c>
      <c r="J44" s="190"/>
      <c r="K44" s="190"/>
      <c r="L44" s="191"/>
      <c r="M44" s="64">
        <v>35000</v>
      </c>
      <c r="N44" s="64" t="s">
        <v>57</v>
      </c>
      <c r="O44" s="64" t="s">
        <v>57</v>
      </c>
      <c r="P44" s="187" t="s">
        <v>241</v>
      </c>
      <c r="Q44" s="187"/>
      <c r="R44" s="187"/>
    </row>
    <row r="45" spans="1:18" ht="14.25">
      <c r="A45" s="164"/>
      <c r="B45" s="129" t="s">
        <v>82</v>
      </c>
      <c r="C45" s="49" t="s">
        <v>83</v>
      </c>
      <c r="D45" s="26">
        <v>20083</v>
      </c>
      <c r="E45" s="26">
        <v>14889</v>
      </c>
      <c r="F45" s="29" t="s">
        <v>57</v>
      </c>
      <c r="G45" s="29" t="s">
        <v>57</v>
      </c>
      <c r="H45" s="38">
        <v>3.0596587213630902E-3</v>
      </c>
      <c r="I45" s="192"/>
      <c r="J45" s="193"/>
      <c r="K45" s="193"/>
      <c r="L45" s="194"/>
      <c r="M45" s="64">
        <v>25000</v>
      </c>
      <c r="N45" s="64" t="s">
        <v>57</v>
      </c>
      <c r="O45" s="64" t="s">
        <v>57</v>
      </c>
      <c r="P45" s="187"/>
      <c r="Q45" s="187"/>
      <c r="R45" s="187"/>
    </row>
    <row r="46" spans="1:18" ht="14.25">
      <c r="A46" s="164"/>
      <c r="B46" s="48">
        <v>100230489825</v>
      </c>
      <c r="C46" s="43" t="s">
        <v>84</v>
      </c>
      <c r="D46" s="100">
        <v>100000</v>
      </c>
      <c r="E46" s="100">
        <v>171456</v>
      </c>
      <c r="F46" s="29" t="s">
        <v>57</v>
      </c>
      <c r="G46" s="29" t="s">
        <v>57</v>
      </c>
      <c r="H46" s="38">
        <v>3.5233853565050099E-2</v>
      </c>
      <c r="I46" s="189" t="s">
        <v>242</v>
      </c>
      <c r="J46" s="190"/>
      <c r="K46" s="190"/>
      <c r="L46" s="191"/>
      <c r="M46" s="88">
        <v>150000</v>
      </c>
      <c r="N46" s="64" t="s">
        <v>57</v>
      </c>
      <c r="O46" s="64" t="s">
        <v>57</v>
      </c>
      <c r="P46" s="187"/>
      <c r="Q46" s="187"/>
      <c r="R46" s="187"/>
    </row>
    <row r="47" spans="1:18" ht="14.25">
      <c r="A47" s="164"/>
      <c r="B47" s="48">
        <v>100307579062</v>
      </c>
      <c r="C47" s="49" t="s">
        <v>85</v>
      </c>
      <c r="D47" s="100">
        <v>60000</v>
      </c>
      <c r="E47" s="100">
        <v>99328</v>
      </c>
      <c r="F47" s="29" t="s">
        <v>57</v>
      </c>
      <c r="G47" s="29" t="s">
        <v>57</v>
      </c>
      <c r="H47" s="38">
        <v>2.0411698668517199E-2</v>
      </c>
      <c r="I47" s="192"/>
      <c r="J47" s="193"/>
      <c r="K47" s="193"/>
      <c r="L47" s="194"/>
      <c r="M47" s="89">
        <v>50000</v>
      </c>
      <c r="N47" s="64" t="s">
        <v>57</v>
      </c>
      <c r="O47" s="64" t="s">
        <v>57</v>
      </c>
      <c r="P47" s="187"/>
      <c r="Q47" s="187"/>
      <c r="R47" s="187"/>
    </row>
    <row r="48" spans="1:18" ht="14.25">
      <c r="A48" s="52"/>
      <c r="B48" s="53"/>
      <c r="C48" s="53"/>
      <c r="D48" s="52"/>
      <c r="E48" s="53"/>
      <c r="F48" s="53"/>
      <c r="G48" s="53"/>
      <c r="H48" s="53"/>
      <c r="I48" s="53"/>
      <c r="J48" s="53"/>
      <c r="K48" s="53"/>
      <c r="L48" s="53"/>
      <c r="M48" s="52"/>
      <c r="N48" s="52"/>
      <c r="O48" s="53"/>
      <c r="P48" s="53"/>
    </row>
    <row r="49" spans="1:16" ht="14.25">
      <c r="A49" s="52"/>
      <c r="B49" s="53"/>
      <c r="C49" s="53"/>
      <c r="D49" s="52"/>
      <c r="E49" s="53"/>
      <c r="F49" s="53"/>
      <c r="G49" s="53"/>
      <c r="H49" s="53"/>
      <c r="I49" s="53"/>
      <c r="J49" s="53"/>
      <c r="K49" s="53"/>
      <c r="L49" s="53"/>
      <c r="M49" s="53"/>
      <c r="N49" s="53"/>
      <c r="O49" s="53"/>
      <c r="P49" s="53"/>
    </row>
    <row r="50" spans="1:16" ht="14.25">
      <c r="A50" s="237" t="s">
        <v>243</v>
      </c>
      <c r="B50" s="237"/>
      <c r="C50" s="237"/>
      <c r="D50" s="237"/>
      <c r="E50" s="237"/>
      <c r="F50" s="237"/>
      <c r="G50" s="237"/>
      <c r="H50" s="237"/>
      <c r="I50" s="237"/>
      <c r="J50" s="237"/>
      <c r="K50" s="210" t="s">
        <v>244</v>
      </c>
      <c r="L50" s="210"/>
      <c r="M50" s="210"/>
      <c r="N50" s="210"/>
      <c r="O50" s="210"/>
      <c r="P50" s="210"/>
    </row>
    <row r="51" spans="1:16" ht="14.25">
      <c r="A51" s="238" t="s">
        <v>87</v>
      </c>
      <c r="B51" s="238"/>
      <c r="C51" s="54" t="s">
        <v>17</v>
      </c>
      <c r="D51" s="54" t="s">
        <v>18</v>
      </c>
      <c r="E51" s="54" t="s">
        <v>19</v>
      </c>
      <c r="F51" s="54" t="s">
        <v>20</v>
      </c>
      <c r="G51" s="238" t="s">
        <v>21</v>
      </c>
      <c r="H51" s="238"/>
      <c r="I51" s="238"/>
      <c r="J51" s="238"/>
      <c r="K51" s="101" t="s">
        <v>226</v>
      </c>
      <c r="L51" s="101" t="s">
        <v>152</v>
      </c>
      <c r="M51" s="101" t="s">
        <v>153</v>
      </c>
      <c r="N51" s="101" t="s">
        <v>154</v>
      </c>
      <c r="O51" s="211" t="s">
        <v>155</v>
      </c>
      <c r="P51" s="211"/>
    </row>
    <row r="52" spans="1:16" ht="33.75" customHeight="1">
      <c r="A52" s="164" t="s">
        <v>88</v>
      </c>
      <c r="B52" s="42" t="s">
        <v>89</v>
      </c>
      <c r="C52" s="26">
        <v>3218369.14</v>
      </c>
      <c r="D52" s="26">
        <v>2811807.91</v>
      </c>
      <c r="E52" s="28">
        <f t="shared" ref="E52:E55" si="5">(C52-D52)/D52</f>
        <v>0.14459068436150699</v>
      </c>
      <c r="F52" s="28">
        <v>0.66136820523653905</v>
      </c>
      <c r="G52" s="150" t="s">
        <v>90</v>
      </c>
      <c r="H52" s="150"/>
      <c r="I52" s="150"/>
      <c r="J52" s="150"/>
      <c r="K52" s="29" t="s">
        <v>245</v>
      </c>
      <c r="L52" s="25" t="s">
        <v>246</v>
      </c>
      <c r="M52" s="25" t="s">
        <v>157</v>
      </c>
      <c r="N52" s="51" t="s">
        <v>158</v>
      </c>
      <c r="O52" s="187" t="s">
        <v>159</v>
      </c>
      <c r="P52" s="187"/>
    </row>
    <row r="53" spans="1:16" ht="28.5">
      <c r="A53" s="165"/>
      <c r="B53" s="42" t="s">
        <v>91</v>
      </c>
      <c r="C53" s="26">
        <v>1654842.84</v>
      </c>
      <c r="D53" s="26">
        <v>1368578.93</v>
      </c>
      <c r="E53" s="28">
        <f t="shared" si="5"/>
        <v>0.209168725109629</v>
      </c>
      <c r="F53" s="28">
        <v>0.34006678271819901</v>
      </c>
      <c r="G53" s="150"/>
      <c r="H53" s="150"/>
      <c r="I53" s="150"/>
      <c r="J53" s="150"/>
      <c r="K53" s="29" t="s">
        <v>247</v>
      </c>
      <c r="L53" s="79" t="s">
        <v>160</v>
      </c>
      <c r="M53" s="25" t="s">
        <v>161</v>
      </c>
      <c r="N53" s="25" t="s">
        <v>248</v>
      </c>
      <c r="O53" s="187" t="s">
        <v>163</v>
      </c>
      <c r="P53" s="188"/>
    </row>
    <row r="54" spans="1:16" ht="30" customHeight="1">
      <c r="A54" s="164" t="s">
        <v>92</v>
      </c>
      <c r="B54" s="25" t="s">
        <v>93</v>
      </c>
      <c r="C54" s="26">
        <v>395318.3</v>
      </c>
      <c r="D54" s="26">
        <v>414554.59</v>
      </c>
      <c r="E54" s="28">
        <f t="shared" si="5"/>
        <v>-4.6402308559652002E-2</v>
      </c>
      <c r="F54" s="28">
        <v>8.12370934454585E-2</v>
      </c>
      <c r="G54" s="150" t="s">
        <v>249</v>
      </c>
      <c r="H54" s="161"/>
      <c r="I54" s="161"/>
      <c r="J54" s="161"/>
      <c r="K54" s="29" t="s">
        <v>250</v>
      </c>
      <c r="L54" s="25" t="s">
        <v>251</v>
      </c>
      <c r="M54" s="25" t="s">
        <v>203</v>
      </c>
      <c r="N54" s="25" t="s">
        <v>204</v>
      </c>
      <c r="O54" s="187" t="s">
        <v>205</v>
      </c>
      <c r="P54" s="188"/>
    </row>
    <row r="55" spans="1:16" ht="39" customHeight="1">
      <c r="A55" s="165"/>
      <c r="B55" s="42" t="s">
        <v>95</v>
      </c>
      <c r="C55" s="26">
        <v>2059106</v>
      </c>
      <c r="D55" s="26">
        <v>1394758</v>
      </c>
      <c r="E55" s="28">
        <f t="shared" si="5"/>
        <v>0.47631775548159599</v>
      </c>
      <c r="F55" s="28">
        <v>0.42314202640278498</v>
      </c>
      <c r="G55" s="150" t="s">
        <v>96</v>
      </c>
      <c r="H55" s="161"/>
      <c r="I55" s="161"/>
      <c r="J55" s="161"/>
      <c r="K55" s="29" t="s">
        <v>252</v>
      </c>
      <c r="L55" s="25" t="s">
        <v>251</v>
      </c>
      <c r="M55" s="25" t="s">
        <v>157</v>
      </c>
      <c r="N55" s="25" t="s">
        <v>169</v>
      </c>
      <c r="O55" s="203" t="s">
        <v>170</v>
      </c>
      <c r="P55" s="208"/>
    </row>
    <row r="56" spans="1:16" ht="14.25">
      <c r="A56" s="52"/>
      <c r="B56" s="53"/>
      <c r="C56" s="53"/>
      <c r="D56" s="52"/>
      <c r="E56" s="53"/>
      <c r="F56" s="53"/>
      <c r="G56" s="53"/>
      <c r="H56" s="53"/>
      <c r="I56" s="53"/>
      <c r="J56" s="53"/>
      <c r="K56" s="53"/>
      <c r="L56" s="53"/>
      <c r="M56" s="53"/>
      <c r="N56" s="53"/>
      <c r="O56" s="53"/>
      <c r="P56" s="53"/>
    </row>
    <row r="57" spans="1:16" ht="14.25">
      <c r="A57" s="52"/>
      <c r="B57" s="53"/>
      <c r="C57" s="53"/>
      <c r="D57" s="52"/>
      <c r="E57" s="53"/>
      <c r="F57" s="53"/>
      <c r="G57" s="53"/>
      <c r="H57" s="53"/>
      <c r="I57" s="53"/>
      <c r="J57" s="53"/>
      <c r="K57" s="53"/>
      <c r="L57" s="53"/>
      <c r="M57" s="53"/>
      <c r="N57" s="53"/>
      <c r="O57" s="53"/>
      <c r="P57" s="53"/>
    </row>
    <row r="58" spans="1:16" ht="14.25">
      <c r="A58" s="91" t="s">
        <v>97</v>
      </c>
      <c r="B58" s="91" t="s">
        <v>98</v>
      </c>
      <c r="C58" s="91" t="s">
        <v>99</v>
      </c>
      <c r="D58" s="91" t="s">
        <v>100</v>
      </c>
      <c r="E58" s="91" t="s">
        <v>101</v>
      </c>
      <c r="F58" s="162" t="s">
        <v>102</v>
      </c>
      <c r="G58" s="162"/>
      <c r="H58" s="163" t="s">
        <v>21</v>
      </c>
      <c r="I58" s="163"/>
      <c r="J58" s="163"/>
      <c r="K58" s="55" t="s">
        <v>226</v>
      </c>
      <c r="L58" s="55" t="s">
        <v>152</v>
      </c>
      <c r="M58" s="55" t="s">
        <v>153</v>
      </c>
      <c r="N58" s="55" t="s">
        <v>154</v>
      </c>
      <c r="O58" s="55" t="s">
        <v>155</v>
      </c>
      <c r="P58" s="1"/>
    </row>
    <row r="59" spans="1:16" ht="23.85" customHeight="1">
      <c r="A59" s="25" t="s">
        <v>89</v>
      </c>
      <c r="B59" s="26">
        <v>21260</v>
      </c>
      <c r="C59" s="26">
        <v>1222228</v>
      </c>
      <c r="D59" s="42">
        <v>57.49</v>
      </c>
      <c r="E59" s="150" t="s">
        <v>253</v>
      </c>
      <c r="F59" s="150" t="s">
        <v>254</v>
      </c>
      <c r="G59" s="150"/>
      <c r="H59" s="150" t="s">
        <v>255</v>
      </c>
      <c r="I59" s="150"/>
      <c r="J59" s="150"/>
      <c r="K59" s="167" t="s">
        <v>256</v>
      </c>
      <c r="L59" s="187" t="s">
        <v>257</v>
      </c>
      <c r="M59" s="164" t="s">
        <v>258</v>
      </c>
      <c r="N59" s="187" t="s">
        <v>211</v>
      </c>
      <c r="O59" s="187" t="s">
        <v>259</v>
      </c>
      <c r="P59" s="1"/>
    </row>
    <row r="60" spans="1:16" ht="26.1" customHeight="1">
      <c r="A60" s="25" t="s">
        <v>19</v>
      </c>
      <c r="B60" s="28">
        <v>2.1993999999999998</v>
      </c>
      <c r="C60" s="28">
        <v>0.61</v>
      </c>
      <c r="D60" s="28">
        <v>-0.49680000000000002</v>
      </c>
      <c r="E60" s="150"/>
      <c r="F60" s="150"/>
      <c r="G60" s="150"/>
      <c r="H60" s="150"/>
      <c r="I60" s="150"/>
      <c r="J60" s="150"/>
      <c r="K60" s="213"/>
      <c r="L60" s="165"/>
      <c r="M60" s="165"/>
      <c r="N60" s="188"/>
      <c r="O60" s="188"/>
      <c r="P60" s="1"/>
    </row>
    <row r="61" spans="1:16" ht="23.1" customHeight="1">
      <c r="A61" s="25" t="s">
        <v>91</v>
      </c>
      <c r="B61" s="26">
        <v>6711</v>
      </c>
      <c r="C61" s="26">
        <v>565079</v>
      </c>
      <c r="D61" s="102">
        <v>84.2</v>
      </c>
      <c r="E61" s="150" t="s">
        <v>260</v>
      </c>
      <c r="F61" s="150" t="s">
        <v>261</v>
      </c>
      <c r="G61" s="150"/>
      <c r="H61" s="150"/>
      <c r="I61" s="150"/>
      <c r="J61" s="150"/>
      <c r="K61" s="213"/>
      <c r="L61" s="165"/>
      <c r="M61" s="165"/>
      <c r="N61" s="188"/>
      <c r="O61" s="188"/>
      <c r="P61" s="1"/>
    </row>
    <row r="62" spans="1:16" ht="33.200000000000003" customHeight="1">
      <c r="A62" s="25" t="s">
        <v>19</v>
      </c>
      <c r="B62" s="28">
        <v>1.0504</v>
      </c>
      <c r="C62" s="28">
        <v>0.15509999999999999</v>
      </c>
      <c r="D62" s="103">
        <v>-0.43659999999999999</v>
      </c>
      <c r="E62" s="150"/>
      <c r="F62" s="150"/>
      <c r="G62" s="150"/>
      <c r="H62" s="150"/>
      <c r="I62" s="150"/>
      <c r="J62" s="150"/>
      <c r="K62" s="213"/>
      <c r="L62" s="165"/>
      <c r="M62" s="165"/>
      <c r="N62" s="188"/>
      <c r="O62" s="188"/>
      <c r="P62" s="1"/>
    </row>
    <row r="63" spans="1:16" ht="14.25">
      <c r="A63" s="25" t="s">
        <v>97</v>
      </c>
      <c r="B63" s="26">
        <v>27971</v>
      </c>
      <c r="C63" s="26">
        <v>1787308</v>
      </c>
      <c r="D63" s="42">
        <v>63.9</v>
      </c>
      <c r="E63" s="187" t="s">
        <v>214</v>
      </c>
      <c r="F63" s="187"/>
      <c r="G63" s="187"/>
      <c r="H63" s="187"/>
      <c r="I63" s="187"/>
      <c r="J63" s="187"/>
      <c r="K63" s="213"/>
      <c r="L63" s="165"/>
      <c r="M63" s="165"/>
      <c r="N63" s="188"/>
      <c r="O63" s="188"/>
      <c r="P63" s="1"/>
    </row>
    <row r="64" spans="1:16" ht="14.25">
      <c r="A64" s="42" t="s">
        <v>19</v>
      </c>
      <c r="B64" s="28">
        <v>1.8202</v>
      </c>
      <c r="C64" s="28">
        <v>0.43169999999999997</v>
      </c>
      <c r="D64" s="28">
        <v>-0.49230000000000002</v>
      </c>
      <c r="E64" s="187"/>
      <c r="F64" s="187"/>
      <c r="G64" s="187"/>
      <c r="H64" s="187"/>
      <c r="I64" s="187"/>
      <c r="J64" s="187"/>
      <c r="K64" s="168"/>
      <c r="L64" s="165"/>
      <c r="M64" s="165"/>
      <c r="N64" s="188"/>
      <c r="O64" s="188"/>
      <c r="P64" s="1"/>
    </row>
    <row r="68" spans="1:7" ht="14.25">
      <c r="A68" s="165" t="s">
        <v>109</v>
      </c>
      <c r="B68" s="62" t="s">
        <v>110</v>
      </c>
      <c r="C68" s="62" t="s">
        <v>111</v>
      </c>
      <c r="D68" s="62" t="s">
        <v>112</v>
      </c>
      <c r="E68" s="62" t="s">
        <v>113</v>
      </c>
      <c r="F68" s="62" t="s">
        <v>262</v>
      </c>
      <c r="G68" s="62" t="s">
        <v>263</v>
      </c>
    </row>
    <row r="69" spans="1:7" ht="14.25">
      <c r="A69" s="165"/>
      <c r="B69" s="25" t="s">
        <v>264</v>
      </c>
      <c r="C69" s="26">
        <v>10608</v>
      </c>
      <c r="D69" s="26">
        <v>11261</v>
      </c>
      <c r="E69" s="26">
        <v>173198</v>
      </c>
      <c r="F69" s="212">
        <v>53</v>
      </c>
      <c r="G69" s="212">
        <v>4412</v>
      </c>
    </row>
    <row r="70" spans="1:7" ht="14.25">
      <c r="A70" s="165"/>
      <c r="B70" s="42" t="s">
        <v>117</v>
      </c>
      <c r="C70" s="26">
        <v>1131</v>
      </c>
      <c r="D70" s="26">
        <v>1235</v>
      </c>
      <c r="E70" s="26">
        <v>40788.46</v>
      </c>
      <c r="F70" s="213"/>
      <c r="G70" s="213"/>
    </row>
    <row r="71" spans="1:7" ht="14.25">
      <c r="A71" s="165"/>
      <c r="B71" s="42" t="s">
        <v>118</v>
      </c>
      <c r="C71" s="26">
        <v>2163</v>
      </c>
      <c r="D71" s="26">
        <v>2415</v>
      </c>
      <c r="E71" s="26">
        <v>80753.77</v>
      </c>
      <c r="F71" s="168"/>
      <c r="G71" s="168"/>
    </row>
    <row r="72" spans="1:7" ht="29.25" customHeight="1">
      <c r="A72" s="187" t="s">
        <v>265</v>
      </c>
      <c r="B72" s="188"/>
      <c r="C72" s="188"/>
      <c r="D72" s="188"/>
      <c r="E72" s="188"/>
      <c r="F72" s="188"/>
      <c r="G72" s="188"/>
    </row>
    <row r="75" spans="1:7" ht="14.25">
      <c r="A75" s="32" t="s">
        <v>42</v>
      </c>
      <c r="B75" s="32" t="s">
        <v>43</v>
      </c>
      <c r="C75" s="32" t="s">
        <v>266</v>
      </c>
      <c r="D75" s="32" t="s">
        <v>267</v>
      </c>
      <c r="E75" s="32" t="s">
        <v>268</v>
      </c>
    </row>
    <row r="76" spans="1:7" ht="14.25">
      <c r="A76" s="129" t="s">
        <v>269</v>
      </c>
      <c r="B76" s="42" t="s">
        <v>270</v>
      </c>
      <c r="C76" s="42">
        <v>17.899999999999999</v>
      </c>
      <c r="D76" s="42">
        <v>3093</v>
      </c>
      <c r="E76" s="26">
        <f>C76*D76</f>
        <v>55364.7</v>
      </c>
    </row>
    <row r="77" spans="1:7" ht="14.25">
      <c r="A77" s="129" t="s">
        <v>271</v>
      </c>
      <c r="B77" s="42" t="s">
        <v>272</v>
      </c>
      <c r="C77" s="42">
        <v>19.899999999999999</v>
      </c>
      <c r="D77" s="42">
        <v>2093</v>
      </c>
      <c r="E77" s="26">
        <f>C77*D77</f>
        <v>41650.699999999997</v>
      </c>
    </row>
    <row r="78" spans="1:7" ht="14.25">
      <c r="A78" s="129" t="s">
        <v>273</v>
      </c>
      <c r="B78" s="42" t="s">
        <v>274</v>
      </c>
      <c r="C78" s="42">
        <v>1</v>
      </c>
      <c r="D78" s="42">
        <v>1535</v>
      </c>
      <c r="E78" s="26">
        <f>C78*D78</f>
        <v>1535</v>
      </c>
    </row>
    <row r="79" spans="1:7" ht="28.5">
      <c r="A79" s="129" t="s">
        <v>275</v>
      </c>
      <c r="B79" s="80" t="s">
        <v>276</v>
      </c>
      <c r="C79" s="42">
        <v>19.899999999999999</v>
      </c>
      <c r="D79" s="42">
        <v>826</v>
      </c>
      <c r="E79" s="26">
        <f>C79*D79</f>
        <v>16437.400000000001</v>
      </c>
    </row>
    <row r="80" spans="1:7" ht="14.25">
      <c r="A80" s="129" t="s">
        <v>277</v>
      </c>
      <c r="B80" s="42" t="s">
        <v>278</v>
      </c>
      <c r="C80" s="42">
        <v>9.9</v>
      </c>
      <c r="D80" s="42">
        <v>814</v>
      </c>
      <c r="E80" s="26">
        <f>C80*D80</f>
        <v>8058.6</v>
      </c>
    </row>
  </sheetData>
  <sheetProtection formatCells="0" formatColumns="0" formatRows="0" insertColumns="0" insertRows="0" insertHyperlinks="0" deleteColumns="0" deleteRows="0" sort="0" autoFilter="0" pivotTables="0"/>
  <mergeCells count="68">
    <mergeCell ref="P28:R34"/>
    <mergeCell ref="P35:R40"/>
    <mergeCell ref="P41:R42"/>
    <mergeCell ref="P44:R47"/>
    <mergeCell ref="O59:O64"/>
    <mergeCell ref="F59:G60"/>
    <mergeCell ref="I44:L45"/>
    <mergeCell ref="G15:J16"/>
    <mergeCell ref="G19:J20"/>
    <mergeCell ref="F61:G62"/>
    <mergeCell ref="G52:J53"/>
    <mergeCell ref="H59:J62"/>
    <mergeCell ref="E63:J64"/>
    <mergeCell ref="I41:L42"/>
    <mergeCell ref="I39:L40"/>
    <mergeCell ref="I46:L47"/>
    <mergeCell ref="I28:L29"/>
    <mergeCell ref="I35:L38"/>
    <mergeCell ref="G69:G71"/>
    <mergeCell ref="K59:K64"/>
    <mergeCell ref="L59:L64"/>
    <mergeCell ref="M59:M64"/>
    <mergeCell ref="N59:N64"/>
    <mergeCell ref="F58:G58"/>
    <mergeCell ref="H58:J58"/>
    <mergeCell ref="A72:G72"/>
    <mergeCell ref="A15:A16"/>
    <mergeCell ref="A17:A18"/>
    <mergeCell ref="A19:A21"/>
    <mergeCell ref="A28:A34"/>
    <mergeCell ref="A35:A40"/>
    <mergeCell ref="A41:A43"/>
    <mergeCell ref="A44:A47"/>
    <mergeCell ref="A52:A53"/>
    <mergeCell ref="A54:A55"/>
    <mergeCell ref="A68:A71"/>
    <mergeCell ref="E59:E60"/>
    <mergeCell ref="E61:E62"/>
    <mergeCell ref="F69:F71"/>
    <mergeCell ref="O52:P52"/>
    <mergeCell ref="O53:P53"/>
    <mergeCell ref="G54:J54"/>
    <mergeCell ref="O54:P54"/>
    <mergeCell ref="G55:J55"/>
    <mergeCell ref="O55:P55"/>
    <mergeCell ref="I43:L43"/>
    <mergeCell ref="P43:R43"/>
    <mergeCell ref="A50:J50"/>
    <mergeCell ref="K50:P50"/>
    <mergeCell ref="A51:B51"/>
    <mergeCell ref="G51:J51"/>
    <mergeCell ref="O51:P51"/>
    <mergeCell ref="I30:L30"/>
    <mergeCell ref="I31:L31"/>
    <mergeCell ref="I32:L32"/>
    <mergeCell ref="I33:L33"/>
    <mergeCell ref="I34:L34"/>
    <mergeCell ref="G18:J18"/>
    <mergeCell ref="G21:J21"/>
    <mergeCell ref="A26:O26"/>
    <mergeCell ref="I27:L27"/>
    <mergeCell ref="P27:R27"/>
    <mergeCell ref="A1:G1"/>
    <mergeCell ref="A13:J13"/>
    <mergeCell ref="A14:B14"/>
    <mergeCell ref="G14:J14"/>
    <mergeCell ref="G17:J17"/>
    <mergeCell ref="E6:G9"/>
  </mergeCells>
  <phoneticPr fontId="15"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S76"/>
  <sheetViews>
    <sheetView topLeftCell="A37" workbookViewId="0">
      <selection activeCell="C59" sqref="C59"/>
    </sheetView>
  </sheetViews>
  <sheetFormatPr defaultColWidth="9" defaultRowHeight="13.5"/>
  <cols>
    <col min="1" max="1" width="11.75" customWidth="1"/>
    <col min="2" max="2" width="12.625" customWidth="1"/>
    <col min="3" max="3" width="26.125" customWidth="1"/>
    <col min="4" max="4" width="14.875" customWidth="1"/>
    <col min="5" max="5" width="15.125" customWidth="1"/>
    <col min="6" max="6" width="23.875" customWidth="1"/>
    <col min="7" max="7" width="17.375" customWidth="1"/>
    <col min="8" max="8" width="14.75" customWidth="1"/>
    <col min="9" max="9" width="15.125" customWidth="1"/>
    <col min="10" max="10" width="11.125" customWidth="1"/>
    <col min="11" max="11" width="11.375" customWidth="1"/>
    <col min="12" max="14" width="10.25" customWidth="1"/>
    <col min="17" max="18" width="11.25" customWidth="1"/>
    <col min="19" max="19" width="13.125" customWidth="1"/>
  </cols>
  <sheetData>
    <row r="1" spans="1:10" ht="14.25">
      <c r="A1" s="136" t="s">
        <v>279</v>
      </c>
      <c r="B1" s="137"/>
      <c r="C1" s="137"/>
      <c r="D1" s="137"/>
      <c r="E1" s="137"/>
      <c r="F1" s="137"/>
      <c r="G1" s="137"/>
    </row>
    <row r="2" spans="1:10" ht="14.25">
      <c r="A2" s="4" t="s">
        <v>1</v>
      </c>
      <c r="B2" s="4" t="s">
        <v>2</v>
      </c>
      <c r="C2" s="4" t="s">
        <v>3</v>
      </c>
      <c r="D2" s="4" t="s">
        <v>4</v>
      </c>
      <c r="E2" s="4" t="s">
        <v>5</v>
      </c>
      <c r="F2" s="4" t="s">
        <v>6</v>
      </c>
      <c r="G2" s="4" t="s">
        <v>7</v>
      </c>
    </row>
    <row r="3" spans="1:10" ht="14.25">
      <c r="A3" s="5" t="s">
        <v>9</v>
      </c>
      <c r="B3" s="17">
        <v>2913</v>
      </c>
      <c r="C3" s="17">
        <v>3107</v>
      </c>
      <c r="D3" s="7">
        <f>(C3-B3)/B3</f>
        <v>6.6598008925506394E-2</v>
      </c>
      <c r="E3" s="7">
        <f>B3/(B3+B4+B5)</f>
        <v>0.415727130012844</v>
      </c>
      <c r="F3" s="7">
        <f>C3/(C3+C4+C5)</f>
        <v>0.32812334987855102</v>
      </c>
      <c r="G3" s="7">
        <f>F3-E3</f>
        <v>-8.7603780134292902E-2</v>
      </c>
    </row>
    <row r="4" spans="1:10" ht="14.25">
      <c r="A4" s="8" t="s">
        <v>11</v>
      </c>
      <c r="B4" s="17">
        <v>3395</v>
      </c>
      <c r="C4" s="17">
        <v>5543</v>
      </c>
      <c r="D4" s="7">
        <f>(C4-B4)/B4</f>
        <v>0.63269513991163495</v>
      </c>
      <c r="E4" s="7">
        <f>B4/(B4+B5+B3)</f>
        <v>0.48451548451548498</v>
      </c>
      <c r="F4" s="7">
        <f>C4/(C3+C4+C5)</f>
        <v>0.58538388425388099</v>
      </c>
      <c r="G4" s="7">
        <f>F4-E4</f>
        <v>0.10086839973839599</v>
      </c>
    </row>
    <row r="5" spans="1:10" ht="14.25">
      <c r="A5" s="8" t="s">
        <v>12</v>
      </c>
      <c r="B5" s="17">
        <v>699</v>
      </c>
      <c r="C5" s="17">
        <v>819</v>
      </c>
      <c r="D5" s="7">
        <f>(C5-B5)/B5</f>
        <v>0.17167381974248899</v>
      </c>
      <c r="E5" s="13">
        <f>B5/(B5+B4+B3)</f>
        <v>9.9757385471671206E-2</v>
      </c>
      <c r="F5" s="13">
        <f>C5/(C3+C4+C5)</f>
        <v>8.6492765867567795E-2</v>
      </c>
      <c r="G5" s="13">
        <f>F5-E5</f>
        <v>-1.3264619604103399E-2</v>
      </c>
    </row>
    <row r="6" spans="1:10" ht="29.65" customHeight="1">
      <c r="A6" s="8" t="s">
        <v>13</v>
      </c>
      <c r="B6" s="18">
        <v>441</v>
      </c>
      <c r="C6" s="18">
        <v>570</v>
      </c>
      <c r="D6" s="7">
        <f>(C6-B6)/B6</f>
        <v>0.29251700680272102</v>
      </c>
      <c r="E6" s="249" t="s">
        <v>280</v>
      </c>
      <c r="F6" s="250"/>
      <c r="G6" s="250"/>
    </row>
    <row r="7" spans="1:10" ht="25.5" customHeight="1">
      <c r="A7" s="19" t="s">
        <v>14</v>
      </c>
      <c r="B7" s="20">
        <v>410</v>
      </c>
      <c r="C7" s="21">
        <v>530</v>
      </c>
      <c r="D7" s="7">
        <f>(C7-B7)/B7</f>
        <v>0.292682926829268</v>
      </c>
      <c r="E7" s="250"/>
      <c r="F7" s="250"/>
      <c r="G7" s="250"/>
    </row>
    <row r="10" spans="1:10" ht="14.25">
      <c r="A10" s="141" t="s">
        <v>281</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3048274</v>
      </c>
      <c r="D12" s="26">
        <v>2160450</v>
      </c>
      <c r="E12" s="27">
        <f t="shared" ref="E12:E18" si="0">(C12-D12)/D12</f>
        <v>0.410944016292902</v>
      </c>
      <c r="F12" s="28">
        <f>C12/5700000</f>
        <v>0.53478491228070202</v>
      </c>
      <c r="G12" s="228" t="s">
        <v>282</v>
      </c>
      <c r="H12" s="254"/>
      <c r="I12" s="254"/>
      <c r="J12" s="255"/>
    </row>
    <row r="13" spans="1:10" ht="14.25">
      <c r="A13" s="164"/>
      <c r="B13" s="25" t="s">
        <v>25</v>
      </c>
      <c r="C13" s="26">
        <v>146675</v>
      </c>
      <c r="D13" s="26">
        <v>71698</v>
      </c>
      <c r="E13" s="27">
        <f t="shared" si="0"/>
        <v>1.0457334932634099</v>
      </c>
      <c r="F13" s="28">
        <f t="shared" ref="F13:F18" si="1">C13/5700000</f>
        <v>2.5732456140350898E-2</v>
      </c>
      <c r="G13" s="256"/>
      <c r="H13" s="257"/>
      <c r="I13" s="257"/>
      <c r="J13" s="258"/>
    </row>
    <row r="14" spans="1:10" ht="96.95" customHeight="1">
      <c r="A14" s="164" t="s">
        <v>26</v>
      </c>
      <c r="B14" s="25" t="s">
        <v>27</v>
      </c>
      <c r="C14" s="26">
        <v>3250711.92</v>
      </c>
      <c r="D14" s="26">
        <v>2172081.7799999998</v>
      </c>
      <c r="E14" s="27">
        <f t="shared" si="0"/>
        <v>0.49658818094777302</v>
      </c>
      <c r="F14" s="28">
        <f t="shared" si="1"/>
        <v>0.57030033684210502</v>
      </c>
      <c r="G14" s="146" t="s">
        <v>283</v>
      </c>
      <c r="H14" s="147"/>
      <c r="I14" s="147"/>
      <c r="J14" s="147"/>
    </row>
    <row r="15" spans="1:10" ht="32.450000000000003" customHeight="1">
      <c r="A15" s="164"/>
      <c r="B15" s="25" t="s">
        <v>29</v>
      </c>
      <c r="C15" s="26">
        <v>702381.24</v>
      </c>
      <c r="D15" s="26">
        <v>495052.2</v>
      </c>
      <c r="E15" s="27">
        <f t="shared" si="0"/>
        <v>0.41880238083983901</v>
      </c>
      <c r="F15" s="28">
        <f t="shared" si="1"/>
        <v>0.123224778947368</v>
      </c>
      <c r="G15" s="146" t="s">
        <v>284</v>
      </c>
      <c r="H15" s="147"/>
      <c r="I15" s="147"/>
      <c r="J15" s="147"/>
    </row>
    <row r="16" spans="1:10" ht="14.25">
      <c r="A16" s="164" t="s">
        <v>31</v>
      </c>
      <c r="B16" s="25" t="s">
        <v>34</v>
      </c>
      <c r="C16" s="26">
        <v>228397.05</v>
      </c>
      <c r="D16" s="26">
        <v>5530.66</v>
      </c>
      <c r="E16" s="27">
        <f t="shared" si="0"/>
        <v>40.296526996777999</v>
      </c>
      <c r="F16" s="28">
        <f t="shared" si="1"/>
        <v>4.00696578947368E-2</v>
      </c>
      <c r="G16" s="195" t="s">
        <v>285</v>
      </c>
      <c r="H16" s="176"/>
      <c r="I16" s="176"/>
      <c r="J16" s="177"/>
    </row>
    <row r="17" spans="1:17" ht="14.25">
      <c r="A17" s="164"/>
      <c r="B17" s="25" t="s">
        <v>36</v>
      </c>
      <c r="C17" s="26">
        <v>114598</v>
      </c>
      <c r="D17" s="26">
        <v>64070</v>
      </c>
      <c r="E17" s="27">
        <f t="shared" si="0"/>
        <v>0.78863742781332902</v>
      </c>
      <c r="F17" s="28">
        <f t="shared" si="1"/>
        <v>2.0104912280701801E-2</v>
      </c>
      <c r="G17" s="195"/>
      <c r="H17" s="176"/>
      <c r="I17" s="176"/>
      <c r="J17" s="177"/>
    </row>
    <row r="18" spans="1:17" ht="30.75" customHeight="1">
      <c r="A18" s="164"/>
      <c r="B18" s="25" t="s">
        <v>37</v>
      </c>
      <c r="C18" s="26">
        <v>406000</v>
      </c>
      <c r="D18" s="26">
        <v>517000</v>
      </c>
      <c r="E18" s="27">
        <f t="shared" si="0"/>
        <v>-0.214700193423598</v>
      </c>
      <c r="F18" s="28">
        <f t="shared" si="1"/>
        <v>7.1228070175438599E-2</v>
      </c>
      <c r="G18" s="150" t="s">
        <v>286</v>
      </c>
      <c r="H18" s="161"/>
      <c r="I18" s="161"/>
      <c r="J18" s="161"/>
    </row>
    <row r="19" spans="1:17" ht="14.25">
      <c r="C19" s="30"/>
      <c r="D19" s="30"/>
      <c r="E19" s="31"/>
    </row>
    <row r="23" spans="1:17" ht="14.25">
      <c r="A23" s="251" t="s">
        <v>287</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226</v>
      </c>
      <c r="E24" s="32" t="s">
        <v>288</v>
      </c>
      <c r="F24" s="32" t="s">
        <v>129</v>
      </c>
      <c r="G24" s="32" t="s">
        <v>19</v>
      </c>
      <c r="H24" s="32" t="s">
        <v>20</v>
      </c>
      <c r="I24" s="153" t="s">
        <v>21</v>
      </c>
      <c r="J24" s="153"/>
      <c r="K24" s="153"/>
      <c r="L24" s="32" t="s">
        <v>289</v>
      </c>
      <c r="M24" s="32" t="s">
        <v>290</v>
      </c>
      <c r="N24" s="32" t="s">
        <v>291</v>
      </c>
      <c r="O24" s="153" t="s">
        <v>292</v>
      </c>
      <c r="P24" s="153"/>
      <c r="Q24" s="153"/>
    </row>
    <row r="25" spans="1:17" ht="35.65" customHeight="1">
      <c r="A25" s="212" t="s">
        <v>44</v>
      </c>
      <c r="B25" s="128" t="s">
        <v>45</v>
      </c>
      <c r="C25" s="34" t="s">
        <v>46</v>
      </c>
      <c r="D25" s="39">
        <v>1200000</v>
      </c>
      <c r="E25" s="36">
        <v>1104001</v>
      </c>
      <c r="F25" s="36">
        <v>622203</v>
      </c>
      <c r="G25" s="37">
        <f>(E25-F25)/F25</f>
        <v>0.77434213592669898</v>
      </c>
      <c r="H25" s="38">
        <f>E25/5700000</f>
        <v>0.193684385964912</v>
      </c>
      <c r="I25" s="189" t="s">
        <v>293</v>
      </c>
      <c r="J25" s="190"/>
      <c r="K25" s="190"/>
      <c r="L25" s="39">
        <v>1100000</v>
      </c>
      <c r="M25" s="39">
        <v>1300000</v>
      </c>
      <c r="N25" s="39">
        <v>1300000</v>
      </c>
      <c r="O25" s="150" t="s">
        <v>294</v>
      </c>
      <c r="P25" s="150"/>
      <c r="Q25" s="150"/>
    </row>
    <row r="26" spans="1:17" ht="27.95" customHeight="1">
      <c r="A26" s="213"/>
      <c r="B26" s="131" t="s">
        <v>48</v>
      </c>
      <c r="C26" s="41" t="s">
        <v>49</v>
      </c>
      <c r="D26" s="95">
        <v>300000</v>
      </c>
      <c r="E26" s="76">
        <v>664118</v>
      </c>
      <c r="F26" s="76">
        <v>179348</v>
      </c>
      <c r="G26" s="78">
        <f t="shared" ref="G26:G39" si="2">(E26-F26)/F26</f>
        <v>2.70295737895042</v>
      </c>
      <c r="H26" s="96">
        <f t="shared" ref="H26:H44" si="3">E26/5700000</f>
        <v>0.116511929824561</v>
      </c>
      <c r="I26" s="192"/>
      <c r="J26" s="193"/>
      <c r="K26" s="193"/>
      <c r="L26" s="39">
        <v>500000</v>
      </c>
      <c r="M26" s="39">
        <v>850000</v>
      </c>
      <c r="N26" s="39">
        <v>750000</v>
      </c>
      <c r="O26" s="150"/>
      <c r="P26" s="150"/>
      <c r="Q26" s="150"/>
    </row>
    <row r="27" spans="1:17" ht="26.85" customHeight="1">
      <c r="A27" s="213"/>
      <c r="B27" s="131" t="s">
        <v>50</v>
      </c>
      <c r="C27" s="41" t="s">
        <v>51</v>
      </c>
      <c r="D27" s="95">
        <v>500000</v>
      </c>
      <c r="E27" s="76">
        <v>511931</v>
      </c>
      <c r="F27" s="76">
        <v>838668</v>
      </c>
      <c r="G27" s="78">
        <f t="shared" si="2"/>
        <v>-0.38959039810747498</v>
      </c>
      <c r="H27" s="96">
        <f t="shared" si="3"/>
        <v>8.9812456140350896E-2</v>
      </c>
      <c r="I27" s="189" t="s">
        <v>295</v>
      </c>
      <c r="J27" s="190"/>
      <c r="K27" s="190"/>
      <c r="L27" s="39">
        <v>450000</v>
      </c>
      <c r="M27" s="39">
        <v>550000</v>
      </c>
      <c r="N27" s="39">
        <v>500000</v>
      </c>
      <c r="O27" s="150"/>
      <c r="P27" s="150"/>
      <c r="Q27" s="150"/>
    </row>
    <row r="28" spans="1:17" ht="14.25">
      <c r="A28" s="213"/>
      <c r="B28" s="131" t="s">
        <v>53</v>
      </c>
      <c r="C28" s="41" t="s">
        <v>54</v>
      </c>
      <c r="D28" s="95">
        <v>400000</v>
      </c>
      <c r="E28" s="76">
        <v>536803</v>
      </c>
      <c r="F28" s="76">
        <v>210965</v>
      </c>
      <c r="G28" s="78">
        <f t="shared" si="2"/>
        <v>1.54451212286398</v>
      </c>
      <c r="H28" s="96">
        <f t="shared" si="3"/>
        <v>9.4175964912280696E-2</v>
      </c>
      <c r="I28" s="192"/>
      <c r="J28" s="193"/>
      <c r="K28" s="193"/>
      <c r="L28" s="39">
        <v>400000</v>
      </c>
      <c r="M28" s="39">
        <v>600000</v>
      </c>
      <c r="N28" s="39">
        <v>550000</v>
      </c>
      <c r="O28" s="150"/>
      <c r="P28" s="150"/>
      <c r="Q28" s="150"/>
    </row>
    <row r="29" spans="1:17" ht="14.25">
      <c r="A29" s="213"/>
      <c r="B29" s="129" t="s">
        <v>55</v>
      </c>
      <c r="C29" s="43" t="s">
        <v>56</v>
      </c>
      <c r="D29" s="64">
        <v>120000</v>
      </c>
      <c r="E29" s="36">
        <v>65308</v>
      </c>
      <c r="F29" s="29" t="s">
        <v>57</v>
      </c>
      <c r="G29" s="37" t="s">
        <v>57</v>
      </c>
      <c r="H29" s="38">
        <f t="shared" si="3"/>
        <v>1.1457543859649101E-2</v>
      </c>
      <c r="I29" s="189" t="s">
        <v>296</v>
      </c>
      <c r="J29" s="190"/>
      <c r="K29" s="190"/>
      <c r="L29" s="39">
        <v>100000</v>
      </c>
      <c r="M29" s="39">
        <v>180000</v>
      </c>
      <c r="N29" s="39">
        <v>150000</v>
      </c>
      <c r="O29" s="150"/>
      <c r="P29" s="150"/>
      <c r="Q29" s="150"/>
    </row>
    <row r="30" spans="1:17" ht="14.25">
      <c r="A30" s="213"/>
      <c r="B30" s="130" t="s">
        <v>137</v>
      </c>
      <c r="C30" s="43" t="s">
        <v>138</v>
      </c>
      <c r="D30" s="64">
        <v>30000</v>
      </c>
      <c r="E30" s="36">
        <v>19827</v>
      </c>
      <c r="F30" s="29" t="s">
        <v>57</v>
      </c>
      <c r="G30" s="37" t="s">
        <v>57</v>
      </c>
      <c r="H30" s="38">
        <f t="shared" si="3"/>
        <v>3.4784210526315799E-3</v>
      </c>
      <c r="I30" s="195"/>
      <c r="J30" s="176"/>
      <c r="K30" s="176"/>
      <c r="L30" s="39">
        <v>30000</v>
      </c>
      <c r="M30" s="39">
        <v>60000</v>
      </c>
      <c r="N30" s="39">
        <v>50000</v>
      </c>
      <c r="O30" s="150"/>
      <c r="P30" s="150"/>
      <c r="Q30" s="150"/>
    </row>
    <row r="31" spans="1:17" ht="42.2" customHeight="1">
      <c r="A31" s="168"/>
      <c r="B31" s="129" t="s">
        <v>232</v>
      </c>
      <c r="C31" s="43" t="s">
        <v>233</v>
      </c>
      <c r="D31" s="64">
        <v>130000</v>
      </c>
      <c r="E31" s="36">
        <v>106470</v>
      </c>
      <c r="F31" s="29" t="s">
        <v>57</v>
      </c>
      <c r="G31" s="37" t="s">
        <v>57</v>
      </c>
      <c r="H31" s="38">
        <f t="shared" si="3"/>
        <v>1.86789473684211E-2</v>
      </c>
      <c r="I31" s="192"/>
      <c r="J31" s="193"/>
      <c r="K31" s="193"/>
      <c r="L31" s="39">
        <v>100000</v>
      </c>
      <c r="M31" s="39">
        <v>300000</v>
      </c>
      <c r="N31" s="39">
        <v>250000</v>
      </c>
      <c r="O31" s="150"/>
      <c r="P31" s="150"/>
      <c r="Q31" s="150"/>
    </row>
    <row r="32" spans="1:17" ht="14.25">
      <c r="A32" s="165" t="s">
        <v>59</v>
      </c>
      <c r="B32" s="129" t="s">
        <v>60</v>
      </c>
      <c r="C32" s="43" t="s">
        <v>61</v>
      </c>
      <c r="D32" s="64">
        <v>65000</v>
      </c>
      <c r="E32" s="36">
        <v>56401</v>
      </c>
      <c r="F32" s="26">
        <v>62029</v>
      </c>
      <c r="G32" s="37">
        <f t="shared" si="2"/>
        <v>-9.0731754501926498E-2</v>
      </c>
      <c r="H32" s="38">
        <f t="shared" si="3"/>
        <v>9.8949122807017505E-3</v>
      </c>
      <c r="I32" s="189" t="s">
        <v>297</v>
      </c>
      <c r="J32" s="190"/>
      <c r="K32" s="190"/>
      <c r="L32" s="39">
        <v>70000</v>
      </c>
      <c r="M32" s="39">
        <v>100000</v>
      </c>
      <c r="N32" s="39">
        <v>90000</v>
      </c>
      <c r="O32" s="150" t="s">
        <v>298</v>
      </c>
      <c r="P32" s="150"/>
      <c r="Q32" s="150"/>
    </row>
    <row r="33" spans="1:19" ht="14.25">
      <c r="A33" s="165"/>
      <c r="B33" s="131" t="s">
        <v>63</v>
      </c>
      <c r="C33" s="41" t="s">
        <v>64</v>
      </c>
      <c r="D33" s="95">
        <v>10000</v>
      </c>
      <c r="E33" s="76">
        <v>14622</v>
      </c>
      <c r="F33" s="57">
        <v>18340</v>
      </c>
      <c r="G33" s="78">
        <f t="shared" si="2"/>
        <v>-0.202726281352236</v>
      </c>
      <c r="H33" s="96">
        <f t="shared" si="3"/>
        <v>2.5652631578947402E-3</v>
      </c>
      <c r="I33" s="195"/>
      <c r="J33" s="176"/>
      <c r="K33" s="176"/>
      <c r="L33" s="39">
        <v>15000</v>
      </c>
      <c r="M33" s="39">
        <v>35000</v>
      </c>
      <c r="N33" s="39">
        <v>30000</v>
      </c>
      <c r="O33" s="150"/>
      <c r="P33" s="150"/>
      <c r="Q33" s="150"/>
    </row>
    <row r="34" spans="1:19" ht="14.25">
      <c r="A34" s="165"/>
      <c r="B34" s="131" t="s">
        <v>65</v>
      </c>
      <c r="C34" s="41" t="s">
        <v>66</v>
      </c>
      <c r="D34" s="95">
        <v>80000</v>
      </c>
      <c r="E34" s="76">
        <v>83619</v>
      </c>
      <c r="F34" s="57">
        <v>71865</v>
      </c>
      <c r="G34" s="78">
        <f t="shared" si="2"/>
        <v>0.163556668753914</v>
      </c>
      <c r="H34" s="96">
        <f t="shared" si="3"/>
        <v>1.4670000000000001E-2</v>
      </c>
      <c r="I34" s="195"/>
      <c r="J34" s="176"/>
      <c r="K34" s="176"/>
      <c r="L34" s="39">
        <v>90000</v>
      </c>
      <c r="M34" s="39">
        <v>60000</v>
      </c>
      <c r="N34" s="39">
        <v>50000</v>
      </c>
      <c r="O34" s="150"/>
      <c r="P34" s="150"/>
      <c r="Q34" s="150"/>
    </row>
    <row r="35" spans="1:19" ht="14.25">
      <c r="A35" s="165"/>
      <c r="B35" s="131" t="s">
        <v>67</v>
      </c>
      <c r="C35" s="41" t="s">
        <v>68</v>
      </c>
      <c r="D35" s="95">
        <v>15000</v>
      </c>
      <c r="E35" s="76">
        <v>15026</v>
      </c>
      <c r="F35" s="57">
        <v>28099</v>
      </c>
      <c r="G35" s="78">
        <f t="shared" si="2"/>
        <v>-0.46524787358980702</v>
      </c>
      <c r="H35" s="96">
        <f t="shared" si="3"/>
        <v>2.6361403508771901E-3</v>
      </c>
      <c r="I35" s="195"/>
      <c r="J35" s="176"/>
      <c r="K35" s="176"/>
      <c r="L35" s="39">
        <v>15000</v>
      </c>
      <c r="M35" s="39">
        <v>25000</v>
      </c>
      <c r="N35" s="39">
        <v>20000</v>
      </c>
      <c r="O35" s="150"/>
      <c r="P35" s="150"/>
      <c r="Q35" s="150"/>
    </row>
    <row r="36" spans="1:19" ht="14.25">
      <c r="A36" s="165"/>
      <c r="B36" s="129" t="s">
        <v>69</v>
      </c>
      <c r="C36" s="43" t="s">
        <v>70</v>
      </c>
      <c r="D36" s="87">
        <v>90000</v>
      </c>
      <c r="E36" s="36">
        <v>73449</v>
      </c>
      <c r="F36" s="26">
        <v>84197</v>
      </c>
      <c r="G36" s="37">
        <f t="shared" si="2"/>
        <v>-0.12765300426380999</v>
      </c>
      <c r="H36" s="38">
        <f t="shared" si="3"/>
        <v>1.2885789473684199E-2</v>
      </c>
      <c r="I36" s="195"/>
      <c r="J36" s="176"/>
      <c r="K36" s="176"/>
      <c r="L36" s="39">
        <v>75000</v>
      </c>
      <c r="M36" s="39">
        <v>100000</v>
      </c>
      <c r="N36" s="39">
        <v>90000</v>
      </c>
      <c r="O36" s="150"/>
      <c r="P36" s="150"/>
      <c r="Q36" s="150"/>
    </row>
    <row r="37" spans="1:19" ht="14.25">
      <c r="A37" s="165"/>
      <c r="B37" s="131" t="s">
        <v>72</v>
      </c>
      <c r="C37" s="41" t="s">
        <v>73</v>
      </c>
      <c r="D37" s="97">
        <v>30000</v>
      </c>
      <c r="E37" s="76">
        <v>31717</v>
      </c>
      <c r="F37" s="57">
        <v>37448</v>
      </c>
      <c r="G37" s="78">
        <f t="shared" si="2"/>
        <v>-0.15303888058107201</v>
      </c>
      <c r="H37" s="96">
        <f t="shared" si="3"/>
        <v>5.5643859649122801E-3</v>
      </c>
      <c r="I37" s="192"/>
      <c r="J37" s="193"/>
      <c r="K37" s="193"/>
      <c r="L37" s="39">
        <v>30000</v>
      </c>
      <c r="M37" s="39">
        <v>50000</v>
      </c>
      <c r="N37" s="39">
        <v>40000</v>
      </c>
      <c r="O37" s="150"/>
      <c r="P37" s="150"/>
      <c r="Q37" s="150"/>
    </row>
    <row r="38" spans="1:19" ht="21.6" customHeight="1">
      <c r="A38" s="167" t="s">
        <v>74</v>
      </c>
      <c r="B38" s="46">
        <v>100127194542</v>
      </c>
      <c r="C38" s="41" t="s">
        <v>75</v>
      </c>
      <c r="D38" s="97">
        <v>30000</v>
      </c>
      <c r="E38" s="76">
        <v>30833</v>
      </c>
      <c r="F38" s="57">
        <v>24490</v>
      </c>
      <c r="G38" s="78">
        <f t="shared" si="2"/>
        <v>0.25900367496937499</v>
      </c>
      <c r="H38" s="96">
        <f t="shared" si="3"/>
        <v>5.4092982456140403E-3</v>
      </c>
      <c r="I38" s="150" t="s">
        <v>299</v>
      </c>
      <c r="J38" s="161"/>
      <c r="K38" s="161"/>
      <c r="L38" s="39">
        <v>35000</v>
      </c>
      <c r="M38" s="39">
        <v>50000</v>
      </c>
      <c r="N38" s="39">
        <v>40000</v>
      </c>
      <c r="O38" s="150" t="s">
        <v>300</v>
      </c>
      <c r="P38" s="150"/>
      <c r="Q38" s="150"/>
    </row>
    <row r="39" spans="1:19" ht="28.7" customHeight="1">
      <c r="A39" s="169"/>
      <c r="B39" s="48">
        <v>100150693764</v>
      </c>
      <c r="C39" s="49" t="s">
        <v>77</v>
      </c>
      <c r="D39" s="87">
        <v>50000</v>
      </c>
      <c r="E39" s="36">
        <v>34695</v>
      </c>
      <c r="F39" s="26">
        <v>42440</v>
      </c>
      <c r="G39" s="37">
        <f t="shared" si="2"/>
        <v>-0.18249293119698401</v>
      </c>
      <c r="H39" s="38">
        <f t="shared" si="3"/>
        <v>6.0868421052631596E-3</v>
      </c>
      <c r="I39" s="161"/>
      <c r="J39" s="161"/>
      <c r="K39" s="161"/>
      <c r="L39" s="39">
        <v>40000</v>
      </c>
      <c r="M39" s="39">
        <v>70000</v>
      </c>
      <c r="N39" s="39">
        <v>60000</v>
      </c>
      <c r="O39" s="150"/>
      <c r="P39" s="150"/>
      <c r="Q39" s="150"/>
    </row>
    <row r="40" spans="1:19" ht="14.25">
      <c r="A40" s="166"/>
      <c r="B40" s="46">
        <v>100325407774</v>
      </c>
      <c r="C40" s="41" t="s">
        <v>301</v>
      </c>
      <c r="D40" s="97">
        <v>3000</v>
      </c>
      <c r="E40" s="76">
        <v>9358</v>
      </c>
      <c r="F40" s="77" t="s">
        <v>57</v>
      </c>
      <c r="G40" s="78" t="s">
        <v>57</v>
      </c>
      <c r="H40" s="96">
        <f t="shared" si="3"/>
        <v>1.64175438596491E-3</v>
      </c>
      <c r="I40" s="231" t="s">
        <v>302</v>
      </c>
      <c r="J40" s="235"/>
      <c r="K40" s="235"/>
      <c r="L40" s="39">
        <v>15000</v>
      </c>
      <c r="M40" s="39">
        <v>40000</v>
      </c>
      <c r="N40" s="39">
        <v>30000</v>
      </c>
      <c r="O40" s="242" t="s">
        <v>240</v>
      </c>
      <c r="P40" s="242"/>
      <c r="Q40" s="242"/>
    </row>
    <row r="41" spans="1:19" ht="14.25">
      <c r="A41" s="164" t="s">
        <v>78</v>
      </c>
      <c r="B41" s="129" t="s">
        <v>79</v>
      </c>
      <c r="C41" s="43" t="s">
        <v>80</v>
      </c>
      <c r="D41" s="64">
        <v>35000</v>
      </c>
      <c r="E41" s="36">
        <v>29991</v>
      </c>
      <c r="F41" s="29" t="s">
        <v>57</v>
      </c>
      <c r="G41" s="37" t="s">
        <v>57</v>
      </c>
      <c r="H41" s="38">
        <f t="shared" si="3"/>
        <v>5.2615789473684201E-3</v>
      </c>
      <c r="I41" s="189" t="s">
        <v>146</v>
      </c>
      <c r="J41" s="190"/>
      <c r="K41" s="190"/>
      <c r="L41" s="39">
        <v>30000</v>
      </c>
      <c r="M41" s="39">
        <v>60000</v>
      </c>
      <c r="N41" s="39">
        <v>55000</v>
      </c>
      <c r="O41" s="150" t="s">
        <v>303</v>
      </c>
      <c r="P41" s="150"/>
      <c r="Q41" s="150"/>
    </row>
    <row r="42" spans="1:19" ht="14.25">
      <c r="A42" s="164"/>
      <c r="B42" s="129" t="s">
        <v>82</v>
      </c>
      <c r="C42" s="49" t="s">
        <v>83</v>
      </c>
      <c r="D42" s="64">
        <v>25000</v>
      </c>
      <c r="E42" s="36">
        <v>18027</v>
      </c>
      <c r="F42" s="29" t="s">
        <v>57</v>
      </c>
      <c r="G42" s="37" t="s">
        <v>57</v>
      </c>
      <c r="H42" s="38">
        <f t="shared" si="3"/>
        <v>3.16263157894737E-3</v>
      </c>
      <c r="I42" s="192"/>
      <c r="J42" s="193"/>
      <c r="K42" s="193"/>
      <c r="L42" s="39">
        <v>20000</v>
      </c>
      <c r="M42" s="39">
        <v>40000</v>
      </c>
      <c r="N42" s="39">
        <v>35000</v>
      </c>
      <c r="O42" s="150"/>
      <c r="P42" s="150"/>
      <c r="Q42" s="150"/>
    </row>
    <row r="43" spans="1:19" ht="14.25">
      <c r="A43" s="164"/>
      <c r="B43" s="48">
        <v>100230489825</v>
      </c>
      <c r="C43" s="43" t="s">
        <v>84</v>
      </c>
      <c r="D43" s="88">
        <v>150000</v>
      </c>
      <c r="E43" s="36">
        <v>144727</v>
      </c>
      <c r="F43" s="29" t="s">
        <v>57</v>
      </c>
      <c r="G43" s="37" t="s">
        <v>57</v>
      </c>
      <c r="H43" s="38">
        <f t="shared" si="3"/>
        <v>2.5390701754386E-2</v>
      </c>
      <c r="I43" s="189" t="s">
        <v>304</v>
      </c>
      <c r="J43" s="190"/>
      <c r="K43" s="190"/>
      <c r="L43" s="39">
        <v>150000</v>
      </c>
      <c r="M43" s="39">
        <v>250000</v>
      </c>
      <c r="N43" s="39">
        <v>200000</v>
      </c>
      <c r="O43" s="150"/>
      <c r="P43" s="150"/>
      <c r="Q43" s="150"/>
    </row>
    <row r="44" spans="1:19" ht="14.25">
      <c r="A44" s="164"/>
      <c r="B44" s="48">
        <v>100307579062</v>
      </c>
      <c r="C44" s="49" t="s">
        <v>85</v>
      </c>
      <c r="D44" s="89">
        <v>50000</v>
      </c>
      <c r="E44" s="36">
        <v>30315</v>
      </c>
      <c r="F44" s="29" t="s">
        <v>57</v>
      </c>
      <c r="G44" s="37" t="s">
        <v>57</v>
      </c>
      <c r="H44" s="38">
        <f t="shared" si="3"/>
        <v>5.3184210526315799E-3</v>
      </c>
      <c r="I44" s="192"/>
      <c r="J44" s="193"/>
      <c r="K44" s="193"/>
      <c r="L44" s="39">
        <v>40000</v>
      </c>
      <c r="M44" s="39">
        <v>70000</v>
      </c>
      <c r="N44" s="39">
        <v>50000</v>
      </c>
      <c r="O44" s="150"/>
      <c r="P44" s="150"/>
      <c r="Q44" s="150"/>
    </row>
    <row r="45" spans="1:19" ht="14.25">
      <c r="A45" s="52"/>
      <c r="B45" s="53"/>
      <c r="C45" s="53"/>
      <c r="D45" s="52"/>
      <c r="E45" s="53"/>
      <c r="F45" s="53"/>
      <c r="G45" s="53"/>
      <c r="H45" s="53"/>
      <c r="I45" s="53"/>
      <c r="J45" s="53"/>
      <c r="K45" s="53"/>
      <c r="L45" s="53"/>
      <c r="M45" s="53"/>
      <c r="N45" s="53"/>
      <c r="O45" s="53"/>
    </row>
    <row r="46" spans="1:19" ht="14.25">
      <c r="A46" s="52"/>
      <c r="B46" s="53"/>
      <c r="C46" s="53"/>
      <c r="D46" s="52"/>
      <c r="E46" s="53"/>
      <c r="F46" s="53"/>
      <c r="G46" s="53"/>
      <c r="H46" s="53"/>
      <c r="I46" s="53"/>
      <c r="J46" s="53"/>
      <c r="K46" s="53"/>
      <c r="L46" s="53"/>
      <c r="M46" s="53"/>
      <c r="N46" s="53"/>
      <c r="O46" s="53"/>
    </row>
    <row r="47" spans="1:19" ht="14.25">
      <c r="A47" s="237" t="s">
        <v>305</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226</v>
      </c>
      <c r="D48" s="54" t="s">
        <v>306</v>
      </c>
      <c r="E48" s="54" t="s">
        <v>129</v>
      </c>
      <c r="F48" s="54" t="s">
        <v>19</v>
      </c>
      <c r="G48" s="54" t="s">
        <v>20</v>
      </c>
      <c r="H48" s="238" t="s">
        <v>21</v>
      </c>
      <c r="I48" s="238"/>
      <c r="J48" s="238"/>
      <c r="K48" s="238"/>
      <c r="L48" s="55" t="s">
        <v>289</v>
      </c>
      <c r="M48" s="55" t="s">
        <v>290</v>
      </c>
      <c r="N48" s="55" t="s">
        <v>291</v>
      </c>
      <c r="O48" s="210" t="s">
        <v>155</v>
      </c>
      <c r="P48" s="210"/>
      <c r="Q48" s="210"/>
      <c r="R48" s="210" t="s">
        <v>307</v>
      </c>
      <c r="S48" s="210"/>
    </row>
    <row r="49" spans="1:19" ht="29.25" customHeight="1">
      <c r="A49" s="164" t="s">
        <v>88</v>
      </c>
      <c r="B49" s="40" t="s">
        <v>89</v>
      </c>
      <c r="C49" s="77" t="s">
        <v>245</v>
      </c>
      <c r="D49" s="57">
        <v>3710184</v>
      </c>
      <c r="E49" s="26">
        <v>2588837</v>
      </c>
      <c r="F49" s="28">
        <v>0.43309999999999998</v>
      </c>
      <c r="G49" s="28">
        <v>0.62270000000000003</v>
      </c>
      <c r="H49" s="150" t="s">
        <v>308</v>
      </c>
      <c r="I49" s="150"/>
      <c r="J49" s="150"/>
      <c r="K49" s="150"/>
      <c r="L49" s="29" t="s">
        <v>309</v>
      </c>
      <c r="M49" s="56" t="s">
        <v>310</v>
      </c>
      <c r="N49" s="56" t="s">
        <v>311</v>
      </c>
      <c r="O49" s="231" t="s">
        <v>312</v>
      </c>
      <c r="P49" s="232"/>
      <c r="Q49" s="233"/>
      <c r="R49" s="150" t="s">
        <v>313</v>
      </c>
      <c r="S49" s="161"/>
    </row>
    <row r="50" spans="1:19" ht="28.5" customHeight="1">
      <c r="A50" s="165"/>
      <c r="B50" s="42" t="s">
        <v>91</v>
      </c>
      <c r="C50" s="29" t="s">
        <v>247</v>
      </c>
      <c r="D50" s="26">
        <v>1705071</v>
      </c>
      <c r="E50" s="26">
        <v>1568323</v>
      </c>
      <c r="F50" s="28">
        <v>8.72E-2</v>
      </c>
      <c r="G50" s="28">
        <v>0.37730000000000002</v>
      </c>
      <c r="H50" s="150"/>
      <c r="I50" s="150"/>
      <c r="J50" s="150"/>
      <c r="K50" s="150"/>
      <c r="L50" s="29" t="s">
        <v>314</v>
      </c>
      <c r="M50" s="56" t="s">
        <v>252</v>
      </c>
      <c r="N50" s="56" t="s">
        <v>247</v>
      </c>
      <c r="O50" s="231" t="s">
        <v>315</v>
      </c>
      <c r="P50" s="232"/>
      <c r="Q50" s="233"/>
      <c r="R50" s="150" t="s">
        <v>316</v>
      </c>
      <c r="S50" s="161"/>
    </row>
    <row r="51" spans="1:19" ht="30.75" customHeight="1">
      <c r="A51" s="164" t="s">
        <v>92</v>
      </c>
      <c r="B51" s="58" t="s">
        <v>93</v>
      </c>
      <c r="C51" s="77" t="s">
        <v>250</v>
      </c>
      <c r="D51" s="57">
        <v>564755</v>
      </c>
      <c r="E51" s="26">
        <v>399382</v>
      </c>
      <c r="F51" s="28">
        <f>(D51-E51)/E51</f>
        <v>0.41407224161329298</v>
      </c>
      <c r="G51" s="28">
        <f>D51/(D49+D50)</f>
        <v>0.104289641023368</v>
      </c>
      <c r="H51" s="150" t="s">
        <v>317</v>
      </c>
      <c r="I51" s="161"/>
      <c r="J51" s="161"/>
      <c r="K51" s="161"/>
      <c r="L51" s="29" t="s">
        <v>318</v>
      </c>
      <c r="M51" s="56" t="s">
        <v>319</v>
      </c>
      <c r="N51" s="56" t="s">
        <v>320</v>
      </c>
      <c r="O51" s="231" t="s">
        <v>321</v>
      </c>
      <c r="P51" s="232"/>
      <c r="Q51" s="233"/>
      <c r="R51" s="150" t="s">
        <v>322</v>
      </c>
      <c r="S51" s="161"/>
    </row>
    <row r="52" spans="1:19" ht="30.75" customHeight="1">
      <c r="A52" s="165"/>
      <c r="B52" s="40" t="s">
        <v>95</v>
      </c>
      <c r="C52" s="77" t="s">
        <v>252</v>
      </c>
      <c r="D52" s="57">
        <v>2467125</v>
      </c>
      <c r="E52" s="26">
        <v>1655042</v>
      </c>
      <c r="F52" s="28">
        <f>(D52-E52)/E52</f>
        <v>0.49067214004236698</v>
      </c>
      <c r="G52" s="28">
        <f>D52/(D49+D50)</f>
        <v>0.45558796400169499</v>
      </c>
      <c r="H52" s="150" t="s">
        <v>323</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3"/>
      <c r="B54" s="53"/>
      <c r="C54" s="53"/>
      <c r="D54" s="53"/>
      <c r="E54" s="53"/>
      <c r="F54" s="53"/>
      <c r="G54" s="53"/>
      <c r="H54" s="53"/>
      <c r="I54" s="53"/>
      <c r="J54" s="53"/>
      <c r="K54" s="53"/>
      <c r="L54" s="53"/>
      <c r="M54" s="53"/>
      <c r="N54" s="53"/>
      <c r="O54" s="53"/>
    </row>
    <row r="55" spans="1:19" ht="21" customHeight="1">
      <c r="A55" s="55" t="s">
        <v>97</v>
      </c>
      <c r="B55" s="55" t="s">
        <v>98</v>
      </c>
      <c r="C55" s="55" t="s">
        <v>99</v>
      </c>
      <c r="D55" s="55" t="s">
        <v>328</v>
      </c>
      <c r="E55" s="55" t="s">
        <v>329</v>
      </c>
      <c r="F55" s="55" t="s">
        <v>101</v>
      </c>
      <c r="G55" s="55" t="s">
        <v>102</v>
      </c>
      <c r="H55" s="210" t="s">
        <v>21</v>
      </c>
      <c r="I55" s="210"/>
      <c r="J55" s="98" t="s">
        <v>289</v>
      </c>
      <c r="K55" s="98" t="s">
        <v>290</v>
      </c>
      <c r="L55" s="98" t="s">
        <v>291</v>
      </c>
      <c r="M55" s="253" t="s">
        <v>292</v>
      </c>
      <c r="N55" s="253"/>
    </row>
    <row r="56" spans="1:19" ht="39.4" customHeight="1">
      <c r="A56" s="25" t="s">
        <v>89</v>
      </c>
      <c r="B56" s="26">
        <v>19770</v>
      </c>
      <c r="C56" s="26">
        <v>1190405</v>
      </c>
      <c r="D56" s="60">
        <v>60.21</v>
      </c>
      <c r="E56" s="60">
        <v>57.4</v>
      </c>
      <c r="F56" s="150" t="s">
        <v>330</v>
      </c>
      <c r="G56" s="150" t="s">
        <v>331</v>
      </c>
      <c r="H56" s="150" t="s">
        <v>332</v>
      </c>
      <c r="I56" s="242"/>
      <c r="J56" s="187" t="s">
        <v>314</v>
      </c>
      <c r="K56" s="187" t="s">
        <v>252</v>
      </c>
      <c r="L56" s="187" t="s">
        <v>247</v>
      </c>
      <c r="M56" s="150" t="s">
        <v>333</v>
      </c>
      <c r="N56" s="150"/>
    </row>
    <row r="57" spans="1:19" ht="34.35" customHeight="1">
      <c r="A57" s="25" t="s">
        <v>19</v>
      </c>
      <c r="B57" s="28">
        <v>1.1499999999999999</v>
      </c>
      <c r="C57" s="28">
        <v>0.90690000000000004</v>
      </c>
      <c r="D57" s="28">
        <v>-0.11310000000000001</v>
      </c>
      <c r="E57" s="60" t="s">
        <v>334</v>
      </c>
      <c r="F57" s="150"/>
      <c r="G57" s="150"/>
      <c r="H57" s="242"/>
      <c r="I57" s="242"/>
      <c r="J57" s="187"/>
      <c r="K57" s="187"/>
      <c r="L57" s="187"/>
      <c r="M57" s="150"/>
      <c r="N57" s="150"/>
    </row>
    <row r="58" spans="1:19" ht="43.15" customHeight="1">
      <c r="A58" s="25" t="s">
        <v>91</v>
      </c>
      <c r="B58" s="26">
        <v>7802</v>
      </c>
      <c r="C58" s="26">
        <v>642630</v>
      </c>
      <c r="D58" s="60">
        <f>C58/B58</f>
        <v>82.367341707254596</v>
      </c>
      <c r="E58" s="60">
        <v>84.2</v>
      </c>
      <c r="F58" s="150" t="s">
        <v>335</v>
      </c>
      <c r="G58" s="150" t="s">
        <v>336</v>
      </c>
      <c r="H58" s="242"/>
      <c r="I58" s="242"/>
      <c r="J58" s="187"/>
      <c r="K58" s="187"/>
      <c r="L58" s="187"/>
      <c r="M58" s="150"/>
      <c r="N58" s="150"/>
    </row>
    <row r="59" spans="1:19" ht="58.15" customHeight="1">
      <c r="A59" s="25" t="s">
        <v>19</v>
      </c>
      <c r="B59" s="28">
        <v>0.97219999999999995</v>
      </c>
      <c r="C59" s="28">
        <v>-7.3099999999999998E-2</v>
      </c>
      <c r="D59" s="28">
        <v>-0.55030000000000001</v>
      </c>
      <c r="E59" s="60" t="s">
        <v>337</v>
      </c>
      <c r="F59" s="150"/>
      <c r="G59" s="150"/>
      <c r="H59" s="242"/>
      <c r="I59" s="242"/>
      <c r="J59" s="187"/>
      <c r="K59" s="187"/>
      <c r="L59" s="187"/>
      <c r="M59" s="150"/>
      <c r="N59" s="150"/>
    </row>
    <row r="60" spans="1:19" ht="15" customHeight="1">
      <c r="A60" s="25" t="s">
        <v>97</v>
      </c>
      <c r="B60" s="26">
        <v>27572</v>
      </c>
      <c r="C60" s="26">
        <v>1833033</v>
      </c>
      <c r="D60" s="60">
        <f>C60/B60</f>
        <v>66.4816843174235</v>
      </c>
      <c r="E60" s="60">
        <v>63.9</v>
      </c>
      <c r="F60" s="259" t="s">
        <v>338</v>
      </c>
      <c r="G60" s="260"/>
      <c r="H60" s="260"/>
      <c r="I60" s="261"/>
      <c r="J60" s="187"/>
      <c r="K60" s="187"/>
      <c r="L60" s="187"/>
      <c r="M60" s="150"/>
      <c r="N60" s="150"/>
    </row>
    <row r="61" spans="1:19" ht="15" customHeight="1">
      <c r="A61" s="42" t="s">
        <v>19</v>
      </c>
      <c r="B61" s="28">
        <v>1.0966</v>
      </c>
      <c r="C61" s="28">
        <v>0.35899999999999999</v>
      </c>
      <c r="D61" s="28">
        <v>-0.3518</v>
      </c>
      <c r="E61" s="61" t="s">
        <v>339</v>
      </c>
      <c r="F61" s="262"/>
      <c r="G61" s="263"/>
      <c r="H61" s="263"/>
      <c r="I61" s="264"/>
      <c r="J61" s="187"/>
      <c r="K61" s="187"/>
      <c r="L61" s="187"/>
      <c r="M61" s="150"/>
      <c r="N61" s="150"/>
    </row>
    <row r="64" spans="1:19" ht="14.25">
      <c r="A64" s="165" t="s">
        <v>109</v>
      </c>
      <c r="B64" s="62" t="s">
        <v>110</v>
      </c>
      <c r="C64" s="62" t="s">
        <v>111</v>
      </c>
      <c r="D64" s="62" t="s">
        <v>112</v>
      </c>
      <c r="E64" s="62" t="s">
        <v>113</v>
      </c>
      <c r="F64" s="62" t="s">
        <v>262</v>
      </c>
      <c r="G64" s="62" t="s">
        <v>263</v>
      </c>
    </row>
    <row r="65" spans="1:7" ht="14.25">
      <c r="A65" s="165"/>
      <c r="B65" s="25" t="s">
        <v>340</v>
      </c>
      <c r="C65" s="42">
        <v>12250</v>
      </c>
      <c r="D65" s="42">
        <v>13801</v>
      </c>
      <c r="E65" s="42">
        <v>114598</v>
      </c>
      <c r="F65" s="212">
        <v>35</v>
      </c>
      <c r="G65" s="212">
        <v>3100</v>
      </c>
    </row>
    <row r="66" spans="1:7" ht="14.25">
      <c r="A66" s="165"/>
      <c r="B66" s="42" t="s">
        <v>117</v>
      </c>
      <c r="C66" s="42">
        <v>1835</v>
      </c>
      <c r="D66" s="42">
        <v>2174</v>
      </c>
      <c r="E66" s="42">
        <v>50290.64</v>
      </c>
      <c r="F66" s="213"/>
      <c r="G66" s="213"/>
    </row>
    <row r="67" spans="1:7" ht="14.25">
      <c r="A67" s="165"/>
      <c r="B67" s="42" t="s">
        <v>118</v>
      </c>
      <c r="C67" s="42">
        <v>2947</v>
      </c>
      <c r="D67" s="42">
        <v>3391</v>
      </c>
      <c r="E67" s="42">
        <v>95289.13</v>
      </c>
      <c r="F67" s="168"/>
      <c r="G67" s="168"/>
    </row>
    <row r="68" spans="1:7" ht="36.75" customHeight="1">
      <c r="A68" s="187" t="s">
        <v>341</v>
      </c>
      <c r="B68" s="188"/>
      <c r="C68" s="188"/>
      <c r="D68" s="188"/>
      <c r="E68" s="188"/>
      <c r="F68" s="188"/>
      <c r="G68" s="188"/>
    </row>
    <row r="71" spans="1:7" ht="14.25">
      <c r="A71" s="32" t="s">
        <v>42</v>
      </c>
      <c r="B71" s="32" t="s">
        <v>43</v>
      </c>
      <c r="C71" s="32" t="s">
        <v>266</v>
      </c>
      <c r="D71" s="32" t="s">
        <v>267</v>
      </c>
      <c r="E71" s="32" t="s">
        <v>268</v>
      </c>
    </row>
    <row r="72" spans="1:7" ht="14.25">
      <c r="A72" s="132" t="s">
        <v>342</v>
      </c>
      <c r="B72" s="25" t="s">
        <v>343</v>
      </c>
      <c r="C72" s="42">
        <v>1</v>
      </c>
      <c r="D72" s="42">
        <v>2478</v>
      </c>
      <c r="E72" s="26">
        <v>2488</v>
      </c>
    </row>
    <row r="73" spans="1:7" ht="14.25">
      <c r="A73" s="132" t="s">
        <v>344</v>
      </c>
      <c r="B73" s="25" t="s">
        <v>345</v>
      </c>
      <c r="C73" s="42">
        <v>1</v>
      </c>
      <c r="D73" s="42">
        <v>2473</v>
      </c>
      <c r="E73" s="26">
        <v>2476</v>
      </c>
    </row>
    <row r="74" spans="1:7" ht="14.25">
      <c r="A74" s="132" t="s">
        <v>346</v>
      </c>
      <c r="B74" s="25" t="s">
        <v>347</v>
      </c>
      <c r="C74" s="42">
        <v>17.899999999999999</v>
      </c>
      <c r="D74" s="42">
        <v>2285</v>
      </c>
      <c r="E74" s="26">
        <v>42534</v>
      </c>
    </row>
    <row r="75" spans="1:7" ht="14.25">
      <c r="A75" s="132" t="s">
        <v>348</v>
      </c>
      <c r="B75" s="25" t="s">
        <v>349</v>
      </c>
      <c r="C75" s="42">
        <v>1.9</v>
      </c>
      <c r="D75" s="42">
        <v>1490</v>
      </c>
      <c r="E75" s="26">
        <v>1684</v>
      </c>
    </row>
    <row r="76" spans="1:7" ht="14.25">
      <c r="A76" s="132" t="s">
        <v>350</v>
      </c>
      <c r="B76" s="25" t="s">
        <v>351</v>
      </c>
      <c r="C76" s="42">
        <v>19.899999999999999</v>
      </c>
      <c r="D76" s="42">
        <v>1041</v>
      </c>
      <c r="E76" s="26">
        <v>21245</v>
      </c>
    </row>
  </sheetData>
  <sheetProtection formatCells="0" formatColumns="0" formatRows="0" insertColumns="0" insertRows="0" insertHyperlinks="0" deleteColumns="0" deleteRows="0" sort="0" autoFilter="0" pivotTables="0"/>
  <mergeCells count="67">
    <mergeCell ref="O25:Q31"/>
    <mergeCell ref="O41:Q44"/>
    <mergeCell ref="I29:K31"/>
    <mergeCell ref="H56:I59"/>
    <mergeCell ref="F60:I61"/>
    <mergeCell ref="M56:N61"/>
    <mergeCell ref="O32:Q37"/>
    <mergeCell ref="I38:K39"/>
    <mergeCell ref="O38:Q39"/>
    <mergeCell ref="I41:K42"/>
    <mergeCell ref="I43:K44"/>
    <mergeCell ref="G65:G67"/>
    <mergeCell ref="J56:J61"/>
    <mergeCell ref="K56:K61"/>
    <mergeCell ref="L56:L61"/>
    <mergeCell ref="E6:G7"/>
    <mergeCell ref="G12:J13"/>
    <mergeCell ref="G16:J17"/>
    <mergeCell ref="H49:K50"/>
    <mergeCell ref="I25:K26"/>
    <mergeCell ref="I27:K28"/>
    <mergeCell ref="I32:K37"/>
    <mergeCell ref="A68:G68"/>
    <mergeCell ref="A12:A13"/>
    <mergeCell ref="A14:A15"/>
    <mergeCell ref="A16:A18"/>
    <mergeCell ref="A25:A31"/>
    <mergeCell ref="A32:A37"/>
    <mergeCell ref="A38:A40"/>
    <mergeCell ref="A41:A44"/>
    <mergeCell ref="A49:A50"/>
    <mergeCell ref="A51:A52"/>
    <mergeCell ref="A64:A67"/>
    <mergeCell ref="F56:F57"/>
    <mergeCell ref="F58:F59"/>
    <mergeCell ref="F65:F67"/>
    <mergeCell ref="G56:G57"/>
    <mergeCell ref="G58:G59"/>
    <mergeCell ref="H52:K52"/>
    <mergeCell ref="O52:Q52"/>
    <mergeCell ref="R52:S52"/>
    <mergeCell ref="H55:I55"/>
    <mergeCell ref="M55:N55"/>
    <mergeCell ref="O49:Q49"/>
    <mergeCell ref="R49:S49"/>
    <mergeCell ref="O50:Q50"/>
    <mergeCell ref="R50:S50"/>
    <mergeCell ref="H51:K51"/>
    <mergeCell ref="O51:Q51"/>
    <mergeCell ref="R51:S51"/>
    <mergeCell ref="I40:K40"/>
    <mergeCell ref="O40:Q40"/>
    <mergeCell ref="A47:S47"/>
    <mergeCell ref="A48:B48"/>
    <mergeCell ref="H48:K48"/>
    <mergeCell ref="O48:Q48"/>
    <mergeCell ref="R48:S48"/>
    <mergeCell ref="G15:J15"/>
    <mergeCell ref="G18:J18"/>
    <mergeCell ref="A23:Q23"/>
    <mergeCell ref="I24:K24"/>
    <mergeCell ref="O24:Q24"/>
    <mergeCell ref="A1:G1"/>
    <mergeCell ref="A10:J10"/>
    <mergeCell ref="A11:B11"/>
    <mergeCell ref="G11:J11"/>
    <mergeCell ref="G14:J14"/>
  </mergeCells>
  <phoneticPr fontId="15"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S81"/>
  <sheetViews>
    <sheetView workbookViewId="0">
      <selection activeCell="F70" sqref="F70:G70"/>
    </sheetView>
  </sheetViews>
  <sheetFormatPr defaultColWidth="9" defaultRowHeight="13.5"/>
  <cols>
    <col min="1" max="1" width="11.75" customWidth="1"/>
    <col min="2" max="2" width="14.375" customWidth="1"/>
    <col min="3" max="3" width="26.125" customWidth="1"/>
    <col min="4" max="4" width="14.875" customWidth="1"/>
    <col min="5" max="5" width="15.125" customWidth="1"/>
    <col min="6" max="6" width="17.25" customWidth="1"/>
    <col min="7" max="7" width="18" customWidth="1"/>
    <col min="8" max="8" width="14.5" customWidth="1"/>
    <col min="9" max="9" width="12.125" customWidth="1"/>
    <col min="10" max="10" width="20.75" customWidth="1"/>
    <col min="11" max="11" width="12.625" customWidth="1"/>
    <col min="12" max="12" width="16" customWidth="1"/>
    <col min="13" max="13" width="13.5" customWidth="1"/>
    <col min="14" max="14" width="10.25" customWidth="1"/>
    <col min="15" max="15" width="17.375" customWidth="1"/>
    <col min="16" max="16" width="23.5" customWidth="1"/>
    <col min="17" max="18" width="11.25" customWidth="1"/>
    <col min="19" max="19" width="15.75" customWidth="1"/>
  </cols>
  <sheetData>
    <row r="1" spans="1:10" ht="14.25" customHeight="1">
      <c r="A1" s="136" t="s">
        <v>352</v>
      </c>
      <c r="B1" s="137"/>
      <c r="C1" s="137"/>
      <c r="D1" s="137"/>
      <c r="E1" s="137"/>
      <c r="F1" s="137"/>
      <c r="G1" s="137"/>
    </row>
    <row r="2" spans="1:10" ht="14.25">
      <c r="A2" s="4" t="s">
        <v>1</v>
      </c>
      <c r="B2" s="4" t="s">
        <v>2</v>
      </c>
      <c r="C2" s="4" t="s">
        <v>3</v>
      </c>
      <c r="D2" s="4" t="s">
        <v>4</v>
      </c>
      <c r="E2" s="4" t="s">
        <v>5</v>
      </c>
      <c r="F2" s="4" t="s">
        <v>6</v>
      </c>
      <c r="G2" s="4" t="s">
        <v>7</v>
      </c>
    </row>
    <row r="3" spans="1:10" ht="14.25">
      <c r="A3" s="5" t="s">
        <v>9</v>
      </c>
      <c r="B3" s="17">
        <v>4843</v>
      </c>
      <c r="C3" s="17">
        <v>3975</v>
      </c>
      <c r="D3" s="7">
        <f t="shared" ref="D3:D7" si="0">(C3-B3)/B3</f>
        <v>-0.17922775139376401</v>
      </c>
      <c r="E3" s="7">
        <f>B3/(B3+B4+B5)</f>
        <v>0.47851002865329501</v>
      </c>
      <c r="F3" s="7">
        <f>C3/(C3+C4+C5)</f>
        <v>0.41657933347306603</v>
      </c>
      <c r="G3" s="7">
        <f>F3-E3</f>
        <v>-6.1930695180228701E-2</v>
      </c>
      <c r="H3" s="22" t="s">
        <v>353</v>
      </c>
    </row>
    <row r="4" spans="1:10" ht="14.25">
      <c r="A4" s="8" t="s">
        <v>11</v>
      </c>
      <c r="B4" s="17">
        <v>4531</v>
      </c>
      <c r="C4" s="17">
        <v>4677</v>
      </c>
      <c r="D4" s="7">
        <f t="shared" si="0"/>
        <v>3.2222467446479802E-2</v>
      </c>
      <c r="E4" s="7">
        <f>B4/(B4+B5+B3)</f>
        <v>0.44768303527319397</v>
      </c>
      <c r="F4" s="7">
        <f>C4/(C3+C4+C5)</f>
        <v>0.49014881576189501</v>
      </c>
      <c r="G4" s="7">
        <f>F4-E4</f>
        <v>4.2465780488700401E-2</v>
      </c>
    </row>
    <row r="5" spans="1:10" ht="14.25">
      <c r="A5" s="8" t="s">
        <v>12</v>
      </c>
      <c r="B5" s="17">
        <v>747</v>
      </c>
      <c r="C5" s="17">
        <v>890</v>
      </c>
      <c r="D5" s="7">
        <f t="shared" si="0"/>
        <v>0.19143239625167299</v>
      </c>
      <c r="E5" s="13">
        <f>B5/(B5+B4+B3)</f>
        <v>7.3806936073510507E-2</v>
      </c>
      <c r="F5" s="13">
        <f>C5/(C3+C4+C5)</f>
        <v>9.32718507650388E-2</v>
      </c>
      <c r="G5" s="13">
        <f>F5-E5</f>
        <v>1.94649146915283E-2</v>
      </c>
    </row>
    <row r="6" spans="1:10" ht="29.65" customHeight="1">
      <c r="A6" s="8" t="s">
        <v>13</v>
      </c>
      <c r="B6" s="18">
        <v>431</v>
      </c>
      <c r="C6" s="18">
        <v>682</v>
      </c>
      <c r="D6" s="7">
        <f t="shared" si="0"/>
        <v>0.58236658932714602</v>
      </c>
      <c r="E6" s="249" t="s">
        <v>354</v>
      </c>
      <c r="F6" s="250"/>
      <c r="G6" s="250"/>
    </row>
    <row r="7" spans="1:10" ht="42.75" customHeight="1">
      <c r="A7" s="19" t="s">
        <v>14</v>
      </c>
      <c r="B7" s="20">
        <v>374</v>
      </c>
      <c r="C7" s="21">
        <v>562</v>
      </c>
      <c r="D7" s="7">
        <f t="shared" si="0"/>
        <v>0.50267379679144397</v>
      </c>
      <c r="E7" s="250"/>
      <c r="F7" s="250"/>
      <c r="G7" s="250"/>
    </row>
    <row r="10" spans="1:10" ht="14.25">
      <c r="A10" s="141" t="s">
        <v>355</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3026480</v>
      </c>
      <c r="D12" s="26">
        <v>2126272</v>
      </c>
      <c r="E12" s="27">
        <f>(C12-D12)/D12</f>
        <v>0.42337386750143002</v>
      </c>
      <c r="F12" s="28">
        <f>C12/6820000</f>
        <v>0.44376539589442798</v>
      </c>
      <c r="G12" s="228" t="s">
        <v>356</v>
      </c>
      <c r="H12" s="254"/>
      <c r="I12" s="254"/>
      <c r="J12" s="255"/>
    </row>
    <row r="13" spans="1:10" ht="14.25">
      <c r="A13" s="164"/>
      <c r="B13" s="25" t="s">
        <v>25</v>
      </c>
      <c r="C13" s="26">
        <v>147999</v>
      </c>
      <c r="D13" s="26">
        <v>86252</v>
      </c>
      <c r="E13" s="27">
        <f t="shared" ref="E13:E18" si="1">(C13-D13)/D13</f>
        <v>0.71589064601400498</v>
      </c>
      <c r="F13" s="28">
        <f t="shared" ref="F13:F18" si="2">C13/6820000</f>
        <v>2.17007331378299E-2</v>
      </c>
      <c r="G13" s="256"/>
      <c r="H13" s="257"/>
      <c r="I13" s="257"/>
      <c r="J13" s="258"/>
    </row>
    <row r="14" spans="1:10" ht="53.1" customHeight="1">
      <c r="A14" s="164" t="s">
        <v>26</v>
      </c>
      <c r="B14" s="25" t="s">
        <v>27</v>
      </c>
      <c r="C14" s="26">
        <v>3439635</v>
      </c>
      <c r="D14" s="26">
        <v>2678068</v>
      </c>
      <c r="E14" s="27">
        <f t="shared" si="1"/>
        <v>0.28437179339732999</v>
      </c>
      <c r="F14" s="28">
        <f t="shared" si="2"/>
        <v>0.50434530791788901</v>
      </c>
      <c r="G14" s="146" t="s">
        <v>357</v>
      </c>
      <c r="H14" s="147"/>
      <c r="I14" s="147"/>
      <c r="J14" s="147"/>
    </row>
    <row r="15" spans="1:10" ht="32.450000000000003" customHeight="1">
      <c r="A15" s="164"/>
      <c r="B15" s="25" t="s">
        <v>29</v>
      </c>
      <c r="C15" s="26">
        <v>1789803</v>
      </c>
      <c r="D15" s="26">
        <v>425215</v>
      </c>
      <c r="E15" s="27">
        <f t="shared" si="1"/>
        <v>3.2091718307209298</v>
      </c>
      <c r="F15" s="28">
        <f t="shared" si="2"/>
        <v>0.26243445747800598</v>
      </c>
      <c r="G15" s="146" t="s">
        <v>358</v>
      </c>
      <c r="H15" s="147"/>
      <c r="I15" s="147"/>
      <c r="J15" s="147"/>
    </row>
    <row r="16" spans="1:10" ht="14.25">
      <c r="A16" s="164" t="s">
        <v>31</v>
      </c>
      <c r="B16" s="25" t="s">
        <v>34</v>
      </c>
      <c r="C16" s="26">
        <v>237909</v>
      </c>
      <c r="D16" s="29">
        <v>31680</v>
      </c>
      <c r="E16" s="27">
        <f t="shared" si="1"/>
        <v>6.5097537878787897</v>
      </c>
      <c r="F16" s="28">
        <f t="shared" si="2"/>
        <v>3.4884017595307897E-2</v>
      </c>
      <c r="G16" s="195" t="s">
        <v>359</v>
      </c>
      <c r="H16" s="176"/>
      <c r="I16" s="176"/>
      <c r="J16" s="177"/>
    </row>
    <row r="17" spans="1:17" ht="14.25">
      <c r="A17" s="164"/>
      <c r="B17" s="25" t="s">
        <v>36</v>
      </c>
      <c r="C17" s="26">
        <v>169205</v>
      </c>
      <c r="D17" s="26">
        <v>776472</v>
      </c>
      <c r="E17" s="27">
        <f t="shared" si="1"/>
        <v>-0.78208486590630399</v>
      </c>
      <c r="F17" s="28">
        <f t="shared" si="2"/>
        <v>2.4810117302052799E-2</v>
      </c>
      <c r="G17" s="195"/>
      <c r="H17" s="176"/>
      <c r="I17" s="176"/>
      <c r="J17" s="177"/>
    </row>
    <row r="18" spans="1:17" ht="30.75" customHeight="1">
      <c r="A18" s="164"/>
      <c r="B18" s="25" t="s">
        <v>37</v>
      </c>
      <c r="C18" s="26">
        <v>266000</v>
      </c>
      <c r="D18" s="26">
        <v>422000</v>
      </c>
      <c r="E18" s="27">
        <f t="shared" si="1"/>
        <v>-0.36966824644549801</v>
      </c>
      <c r="F18" s="28">
        <f t="shared" si="2"/>
        <v>3.9002932551319598E-2</v>
      </c>
      <c r="G18" s="150" t="s">
        <v>360</v>
      </c>
      <c r="H18" s="161"/>
      <c r="I18" s="161"/>
      <c r="J18" s="161"/>
    </row>
    <row r="19" spans="1:17" ht="14.25">
      <c r="C19" s="30"/>
      <c r="D19" s="30"/>
      <c r="E19" s="31"/>
    </row>
    <row r="23" spans="1:17" ht="14.25">
      <c r="A23" s="251" t="s">
        <v>361</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290</v>
      </c>
      <c r="E24" s="32" t="s">
        <v>362</v>
      </c>
      <c r="F24" s="32" t="s">
        <v>129</v>
      </c>
      <c r="G24" s="32" t="s">
        <v>19</v>
      </c>
      <c r="H24" s="32" t="s">
        <v>20</v>
      </c>
      <c r="I24" s="153" t="s">
        <v>21</v>
      </c>
      <c r="J24" s="153"/>
      <c r="K24" s="153"/>
      <c r="L24" s="32" t="s">
        <v>289</v>
      </c>
      <c r="M24" s="32" t="s">
        <v>290</v>
      </c>
      <c r="N24" s="32" t="s">
        <v>291</v>
      </c>
      <c r="O24" s="153" t="s">
        <v>292</v>
      </c>
      <c r="P24" s="153"/>
      <c r="Q24" s="153"/>
    </row>
    <row r="25" spans="1:17" ht="35.65" customHeight="1">
      <c r="A25" s="212" t="s">
        <v>44</v>
      </c>
      <c r="B25" s="128" t="s">
        <v>45</v>
      </c>
      <c r="C25" s="34" t="s">
        <v>46</v>
      </c>
      <c r="D25" s="35">
        <v>1300000</v>
      </c>
      <c r="E25" s="36">
        <v>1221865</v>
      </c>
      <c r="F25" s="29">
        <v>561354</v>
      </c>
      <c r="G25" s="37">
        <f>(E25-F25)/F25</f>
        <v>1.1766389836003699</v>
      </c>
      <c r="H25" s="38">
        <f>E25/6820000</f>
        <v>0.17915909090909099</v>
      </c>
      <c r="I25" s="189" t="s">
        <v>363</v>
      </c>
      <c r="J25" s="190"/>
      <c r="K25" s="190"/>
      <c r="L25" s="39">
        <v>1100000</v>
      </c>
      <c r="M25" s="39">
        <v>1300000</v>
      </c>
      <c r="N25" s="39">
        <v>1300000</v>
      </c>
      <c r="O25" s="150" t="s">
        <v>364</v>
      </c>
      <c r="P25" s="150"/>
      <c r="Q25" s="150"/>
    </row>
    <row r="26" spans="1:17" ht="27.95" customHeight="1">
      <c r="A26" s="213"/>
      <c r="B26" s="131" t="s">
        <v>48</v>
      </c>
      <c r="C26" s="41" t="s">
        <v>49</v>
      </c>
      <c r="D26" s="35">
        <v>850000</v>
      </c>
      <c r="E26" s="36">
        <v>1865194</v>
      </c>
      <c r="F26" s="29">
        <v>229913</v>
      </c>
      <c r="G26" s="37">
        <f>(E26-F26)/F26</f>
        <v>7.1126078125203902</v>
      </c>
      <c r="H26" s="38">
        <f t="shared" ref="H26:H44" si="3">E26/6820000</f>
        <v>0.27348885630498498</v>
      </c>
      <c r="I26" s="192"/>
      <c r="J26" s="193"/>
      <c r="K26" s="193"/>
      <c r="L26" s="39">
        <v>500000</v>
      </c>
      <c r="M26" s="39">
        <v>850000</v>
      </c>
      <c r="N26" s="39">
        <v>750000</v>
      </c>
      <c r="O26" s="150"/>
      <c r="P26" s="150"/>
      <c r="Q26" s="150"/>
    </row>
    <row r="27" spans="1:17" ht="26.85" customHeight="1">
      <c r="A27" s="213"/>
      <c r="B27" s="131" t="s">
        <v>50</v>
      </c>
      <c r="C27" s="41" t="s">
        <v>51</v>
      </c>
      <c r="D27" s="35">
        <v>550000</v>
      </c>
      <c r="E27" s="36">
        <v>796123</v>
      </c>
      <c r="F27" s="29">
        <v>467974</v>
      </c>
      <c r="G27" s="37">
        <f t="shared" ref="G27:G32" si="4">(E27-F27)/F27</f>
        <v>0.70121203314714098</v>
      </c>
      <c r="H27" s="38">
        <f t="shared" si="3"/>
        <v>0.11673357771261</v>
      </c>
      <c r="I27" s="189" t="s">
        <v>365</v>
      </c>
      <c r="J27" s="190"/>
      <c r="K27" s="190"/>
      <c r="L27" s="39">
        <v>450000</v>
      </c>
      <c r="M27" s="39">
        <v>550000</v>
      </c>
      <c r="N27" s="39">
        <v>500000</v>
      </c>
      <c r="O27" s="150"/>
      <c r="P27" s="150"/>
      <c r="Q27" s="150"/>
    </row>
    <row r="28" spans="1:17" ht="14.25">
      <c r="A28" s="213"/>
      <c r="B28" s="131" t="s">
        <v>53</v>
      </c>
      <c r="C28" s="41" t="s">
        <v>54</v>
      </c>
      <c r="D28" s="35">
        <v>600000</v>
      </c>
      <c r="E28" s="36">
        <v>244312</v>
      </c>
      <c r="F28" s="29">
        <v>180167</v>
      </c>
      <c r="G28" s="37">
        <f t="shared" si="4"/>
        <v>0.35603079365255602</v>
      </c>
      <c r="H28" s="38">
        <f t="shared" si="3"/>
        <v>3.5822873900293303E-2</v>
      </c>
      <c r="I28" s="192"/>
      <c r="J28" s="193"/>
      <c r="K28" s="193"/>
      <c r="L28" s="39">
        <v>400000</v>
      </c>
      <c r="M28" s="39">
        <v>600000</v>
      </c>
      <c r="N28" s="39">
        <v>550000</v>
      </c>
      <c r="O28" s="150"/>
      <c r="P28" s="150"/>
      <c r="Q28" s="150"/>
    </row>
    <row r="29" spans="1:17" ht="14.25">
      <c r="A29" s="213"/>
      <c r="B29" s="129" t="s">
        <v>55</v>
      </c>
      <c r="C29" s="43" t="s">
        <v>56</v>
      </c>
      <c r="D29" s="35">
        <v>180000</v>
      </c>
      <c r="E29" s="36">
        <v>113505</v>
      </c>
      <c r="F29" s="29" t="s">
        <v>57</v>
      </c>
      <c r="G29" s="29" t="s">
        <v>57</v>
      </c>
      <c r="H29" s="38">
        <f t="shared" si="3"/>
        <v>1.6642961876832799E-2</v>
      </c>
      <c r="I29" s="189" t="s">
        <v>366</v>
      </c>
      <c r="J29" s="190"/>
      <c r="K29" s="190"/>
      <c r="L29" s="39">
        <v>100000</v>
      </c>
      <c r="M29" s="39">
        <v>180000</v>
      </c>
      <c r="N29" s="39">
        <v>150000</v>
      </c>
      <c r="O29" s="150"/>
      <c r="P29" s="150"/>
      <c r="Q29" s="150"/>
    </row>
    <row r="30" spans="1:17" ht="14.25">
      <c r="A30" s="213"/>
      <c r="B30" s="130" t="s">
        <v>137</v>
      </c>
      <c r="C30" s="43" t="s">
        <v>138</v>
      </c>
      <c r="D30" s="35">
        <v>60000</v>
      </c>
      <c r="E30" s="36">
        <v>12657</v>
      </c>
      <c r="F30" s="29" t="s">
        <v>57</v>
      </c>
      <c r="G30" s="29" t="s">
        <v>57</v>
      </c>
      <c r="H30" s="38">
        <f t="shared" si="3"/>
        <v>1.8558651026393E-3</v>
      </c>
      <c r="I30" s="195"/>
      <c r="J30" s="176"/>
      <c r="K30" s="176"/>
      <c r="L30" s="39">
        <v>30000</v>
      </c>
      <c r="M30" s="39">
        <v>60000</v>
      </c>
      <c r="N30" s="39">
        <v>50000</v>
      </c>
      <c r="O30" s="150"/>
      <c r="P30" s="150"/>
      <c r="Q30" s="150"/>
    </row>
    <row r="31" spans="1:17" ht="42.2" customHeight="1">
      <c r="A31" s="168"/>
      <c r="B31" s="129" t="s">
        <v>232</v>
      </c>
      <c r="C31" s="43" t="s">
        <v>233</v>
      </c>
      <c r="D31" s="35">
        <v>300000</v>
      </c>
      <c r="E31" s="36">
        <v>60737</v>
      </c>
      <c r="F31" s="29" t="s">
        <v>57</v>
      </c>
      <c r="G31" s="29" t="s">
        <v>57</v>
      </c>
      <c r="H31" s="38">
        <f t="shared" si="3"/>
        <v>8.9057184750733105E-3</v>
      </c>
      <c r="I31" s="192"/>
      <c r="J31" s="193"/>
      <c r="K31" s="193"/>
      <c r="L31" s="39">
        <v>100000</v>
      </c>
      <c r="M31" s="39">
        <v>300000</v>
      </c>
      <c r="N31" s="39">
        <v>250000</v>
      </c>
      <c r="O31" s="150"/>
      <c r="P31" s="150"/>
      <c r="Q31" s="150"/>
    </row>
    <row r="32" spans="1:17" ht="14.25">
      <c r="A32" s="165" t="s">
        <v>59</v>
      </c>
      <c r="B32" s="129" t="s">
        <v>60</v>
      </c>
      <c r="C32" s="43" t="s">
        <v>61</v>
      </c>
      <c r="D32" s="35">
        <v>100000</v>
      </c>
      <c r="E32" s="36">
        <v>53100</v>
      </c>
      <c r="F32" s="26">
        <v>69006</v>
      </c>
      <c r="G32" s="37">
        <f t="shared" si="4"/>
        <v>-0.23050169550473901</v>
      </c>
      <c r="H32" s="38">
        <f t="shared" si="3"/>
        <v>7.7859237536656899E-3</v>
      </c>
      <c r="I32" s="189" t="s">
        <v>367</v>
      </c>
      <c r="J32" s="190"/>
      <c r="K32" s="190"/>
      <c r="L32" s="39">
        <v>70000</v>
      </c>
      <c r="M32" s="39">
        <v>100000</v>
      </c>
      <c r="N32" s="39">
        <v>90000</v>
      </c>
      <c r="O32" s="150" t="s">
        <v>298</v>
      </c>
      <c r="P32" s="150"/>
      <c r="Q32" s="150"/>
    </row>
    <row r="33" spans="1:19" ht="14.25">
      <c r="A33" s="165"/>
      <c r="B33" s="131" t="s">
        <v>63</v>
      </c>
      <c r="C33" s="41" t="s">
        <v>64</v>
      </c>
      <c r="D33" s="35">
        <v>35000</v>
      </c>
      <c r="E33" s="36">
        <v>21523</v>
      </c>
      <c r="F33" s="26">
        <v>17261</v>
      </c>
      <c r="G33" s="37">
        <f t="shared" ref="G33:G39" si="5">(E33-F33)/F33</f>
        <v>0.246915010717803</v>
      </c>
      <c r="H33" s="38">
        <f t="shared" si="3"/>
        <v>3.1558651026393002E-3</v>
      </c>
      <c r="I33" s="195"/>
      <c r="J33" s="176"/>
      <c r="K33" s="176"/>
      <c r="L33" s="39">
        <v>15000</v>
      </c>
      <c r="M33" s="39">
        <v>35000</v>
      </c>
      <c r="N33" s="39">
        <v>30000</v>
      </c>
      <c r="O33" s="150"/>
      <c r="P33" s="150"/>
      <c r="Q33" s="150"/>
    </row>
    <row r="34" spans="1:19" ht="14.25">
      <c r="A34" s="165"/>
      <c r="B34" s="131" t="s">
        <v>65</v>
      </c>
      <c r="C34" s="41" t="s">
        <v>66</v>
      </c>
      <c r="D34" s="35">
        <v>60000</v>
      </c>
      <c r="E34" s="36">
        <v>55594</v>
      </c>
      <c r="F34" s="26">
        <v>38981</v>
      </c>
      <c r="G34" s="37">
        <f t="shared" si="5"/>
        <v>0.42618198609579</v>
      </c>
      <c r="H34" s="38">
        <f t="shared" si="3"/>
        <v>8.1516129032258092E-3</v>
      </c>
      <c r="I34" s="195"/>
      <c r="J34" s="176"/>
      <c r="K34" s="176"/>
      <c r="L34" s="39">
        <v>90000</v>
      </c>
      <c r="M34" s="39">
        <v>60000</v>
      </c>
      <c r="N34" s="39">
        <v>50000</v>
      </c>
      <c r="O34" s="150"/>
      <c r="P34" s="150"/>
      <c r="Q34" s="150"/>
    </row>
    <row r="35" spans="1:19" ht="14.25">
      <c r="A35" s="165"/>
      <c r="B35" s="131" t="s">
        <v>67</v>
      </c>
      <c r="C35" s="41" t="s">
        <v>68</v>
      </c>
      <c r="D35" s="35">
        <v>25000</v>
      </c>
      <c r="E35" s="36">
        <v>20963</v>
      </c>
      <c r="F35" s="26">
        <v>11077</v>
      </c>
      <c r="G35" s="37">
        <f t="shared" si="5"/>
        <v>0.89247991333393495</v>
      </c>
      <c r="H35" s="38">
        <f t="shared" si="3"/>
        <v>3.0737536656891499E-3</v>
      </c>
      <c r="I35" s="195"/>
      <c r="J35" s="176"/>
      <c r="K35" s="176"/>
      <c r="L35" s="39">
        <v>15000</v>
      </c>
      <c r="M35" s="39">
        <v>25000</v>
      </c>
      <c r="N35" s="39">
        <v>20000</v>
      </c>
      <c r="O35" s="150"/>
      <c r="P35" s="150"/>
      <c r="Q35" s="150"/>
    </row>
    <row r="36" spans="1:19" ht="14.25">
      <c r="A36" s="165"/>
      <c r="B36" s="129" t="s">
        <v>69</v>
      </c>
      <c r="C36" s="43" t="s">
        <v>70</v>
      </c>
      <c r="D36" s="35">
        <v>100000</v>
      </c>
      <c r="E36" s="36">
        <v>85866</v>
      </c>
      <c r="F36" s="26">
        <v>87146</v>
      </c>
      <c r="G36" s="37">
        <f t="shared" si="5"/>
        <v>-1.4687994859201799E-2</v>
      </c>
      <c r="H36" s="38">
        <f t="shared" si="3"/>
        <v>1.25903225806452E-2</v>
      </c>
      <c r="I36" s="195"/>
      <c r="J36" s="176"/>
      <c r="K36" s="176"/>
      <c r="L36" s="39">
        <v>75000</v>
      </c>
      <c r="M36" s="39">
        <v>100000</v>
      </c>
      <c r="N36" s="39">
        <v>90000</v>
      </c>
      <c r="O36" s="150"/>
      <c r="P36" s="150"/>
      <c r="Q36" s="150"/>
    </row>
    <row r="37" spans="1:19" ht="14.25">
      <c r="A37" s="165"/>
      <c r="B37" s="131" t="s">
        <v>72</v>
      </c>
      <c r="C37" s="41" t="s">
        <v>73</v>
      </c>
      <c r="D37" s="35">
        <v>50000</v>
      </c>
      <c r="E37" s="36">
        <v>27241</v>
      </c>
      <c r="F37" s="26">
        <v>31843</v>
      </c>
      <c r="G37" s="37">
        <f t="shared" si="5"/>
        <v>-0.144521558898345</v>
      </c>
      <c r="H37" s="38">
        <f t="shared" si="3"/>
        <v>3.9942815249266904E-3</v>
      </c>
      <c r="I37" s="192"/>
      <c r="J37" s="193"/>
      <c r="K37" s="193"/>
      <c r="L37" s="39">
        <v>30000</v>
      </c>
      <c r="M37" s="39">
        <v>50000</v>
      </c>
      <c r="N37" s="39">
        <v>40000</v>
      </c>
      <c r="O37" s="150"/>
      <c r="P37" s="150"/>
      <c r="Q37" s="150"/>
    </row>
    <row r="38" spans="1:19" ht="21.6" customHeight="1">
      <c r="A38" s="167" t="s">
        <v>74</v>
      </c>
      <c r="B38" s="46">
        <v>100127194542</v>
      </c>
      <c r="C38" s="41" t="s">
        <v>75</v>
      </c>
      <c r="D38" s="35">
        <v>50000</v>
      </c>
      <c r="E38" s="36">
        <v>24451</v>
      </c>
      <c r="F38" s="26">
        <v>22283</v>
      </c>
      <c r="G38" s="37">
        <f t="shared" si="5"/>
        <v>9.7293901180271994E-2</v>
      </c>
      <c r="H38" s="38">
        <f t="shared" si="3"/>
        <v>3.5851906158357802E-3</v>
      </c>
      <c r="I38" s="150" t="s">
        <v>368</v>
      </c>
      <c r="J38" s="161"/>
      <c r="K38" s="161"/>
      <c r="L38" s="39">
        <v>35000</v>
      </c>
      <c r="M38" s="39">
        <v>50000</v>
      </c>
      <c r="N38" s="39">
        <v>40000</v>
      </c>
      <c r="O38" s="150" t="s">
        <v>300</v>
      </c>
      <c r="P38" s="150"/>
      <c r="Q38" s="150"/>
    </row>
    <row r="39" spans="1:19" ht="28.7" customHeight="1">
      <c r="A39" s="169"/>
      <c r="B39" s="48">
        <v>100150693764</v>
      </c>
      <c r="C39" s="49" t="s">
        <v>77</v>
      </c>
      <c r="D39" s="35">
        <v>70000</v>
      </c>
      <c r="E39" s="36">
        <v>68025</v>
      </c>
      <c r="F39" s="26">
        <v>23685</v>
      </c>
      <c r="G39" s="37">
        <f t="shared" si="5"/>
        <v>1.87207093096897</v>
      </c>
      <c r="H39" s="38">
        <f t="shared" si="3"/>
        <v>9.9743401759530802E-3</v>
      </c>
      <c r="I39" s="161"/>
      <c r="J39" s="161"/>
      <c r="K39" s="161"/>
      <c r="L39" s="39">
        <v>40000</v>
      </c>
      <c r="M39" s="39">
        <v>70000</v>
      </c>
      <c r="N39" s="39">
        <v>60000</v>
      </c>
      <c r="O39" s="150"/>
      <c r="P39" s="150"/>
      <c r="Q39" s="150"/>
    </row>
    <row r="40" spans="1:19" ht="30.6" customHeight="1">
      <c r="A40" s="166"/>
      <c r="B40" s="46">
        <v>100325407774</v>
      </c>
      <c r="C40" s="41" t="s">
        <v>301</v>
      </c>
      <c r="D40" s="35">
        <v>40000</v>
      </c>
      <c r="E40" s="36">
        <v>46847</v>
      </c>
      <c r="F40" s="29" t="s">
        <v>57</v>
      </c>
      <c r="G40" s="37" t="s">
        <v>57</v>
      </c>
      <c r="H40" s="38">
        <f t="shared" si="3"/>
        <v>6.8690615835777097E-3</v>
      </c>
      <c r="I40" s="231" t="s">
        <v>369</v>
      </c>
      <c r="J40" s="235"/>
      <c r="K40" s="235"/>
      <c r="L40" s="39">
        <v>15000</v>
      </c>
      <c r="M40" s="39">
        <v>40000</v>
      </c>
      <c r="N40" s="39">
        <v>30000</v>
      </c>
      <c r="O40" s="242" t="s">
        <v>240</v>
      </c>
      <c r="P40" s="242"/>
      <c r="Q40" s="242"/>
    </row>
    <row r="41" spans="1:19" ht="14.25">
      <c r="A41" s="164" t="s">
        <v>78</v>
      </c>
      <c r="B41" s="129" t="s">
        <v>79</v>
      </c>
      <c r="C41" s="43" t="s">
        <v>80</v>
      </c>
      <c r="D41" s="35">
        <v>60000</v>
      </c>
      <c r="E41" s="36">
        <v>21960</v>
      </c>
      <c r="F41" s="36">
        <v>38708</v>
      </c>
      <c r="G41" s="37">
        <f>(E41-F41)/F41</f>
        <v>-0.43267541593469</v>
      </c>
      <c r="H41" s="38">
        <f t="shared" si="3"/>
        <v>3.21994134897361E-3</v>
      </c>
      <c r="I41" s="189" t="s">
        <v>146</v>
      </c>
      <c r="J41" s="190"/>
      <c r="K41" s="190"/>
      <c r="L41" s="39">
        <v>30000</v>
      </c>
      <c r="M41" s="39">
        <v>60000</v>
      </c>
      <c r="N41" s="39">
        <v>55000</v>
      </c>
      <c r="O41" s="150" t="s">
        <v>303</v>
      </c>
      <c r="P41" s="150"/>
      <c r="Q41" s="150"/>
    </row>
    <row r="42" spans="1:19" ht="14.25">
      <c r="A42" s="164"/>
      <c r="B42" s="129" t="s">
        <v>82</v>
      </c>
      <c r="C42" s="49" t="s">
        <v>83</v>
      </c>
      <c r="D42" s="35">
        <v>40000</v>
      </c>
      <c r="E42" s="36">
        <v>31744</v>
      </c>
      <c r="F42" s="29" t="s">
        <v>57</v>
      </c>
      <c r="G42" s="37" t="s">
        <v>57</v>
      </c>
      <c r="H42" s="38">
        <f t="shared" si="3"/>
        <v>4.6545454545454503E-3</v>
      </c>
      <c r="I42" s="192"/>
      <c r="J42" s="193"/>
      <c r="K42" s="193"/>
      <c r="L42" s="39">
        <v>20000</v>
      </c>
      <c r="M42" s="39">
        <v>40000</v>
      </c>
      <c r="N42" s="39">
        <v>35000</v>
      </c>
      <c r="O42" s="150"/>
      <c r="P42" s="150"/>
      <c r="Q42" s="150"/>
    </row>
    <row r="43" spans="1:19" ht="14.25">
      <c r="A43" s="164"/>
      <c r="B43" s="48">
        <v>100230489825</v>
      </c>
      <c r="C43" s="43" t="s">
        <v>84</v>
      </c>
      <c r="D43" s="35">
        <v>250000</v>
      </c>
      <c r="E43" s="36">
        <v>80499</v>
      </c>
      <c r="F43" s="29" t="s">
        <v>57</v>
      </c>
      <c r="G43" s="37" t="s">
        <v>57</v>
      </c>
      <c r="H43" s="38">
        <f t="shared" si="3"/>
        <v>1.1803372434017601E-2</v>
      </c>
      <c r="I43" s="189" t="s">
        <v>370</v>
      </c>
      <c r="J43" s="190"/>
      <c r="K43" s="190"/>
      <c r="L43" s="39">
        <v>150000</v>
      </c>
      <c r="M43" s="39">
        <v>250000</v>
      </c>
      <c r="N43" s="39">
        <v>200000</v>
      </c>
      <c r="O43" s="150"/>
      <c r="P43" s="150"/>
      <c r="Q43" s="150"/>
    </row>
    <row r="44" spans="1:19" ht="14.25">
      <c r="A44" s="164"/>
      <c r="B44" s="48">
        <v>100307579062</v>
      </c>
      <c r="C44" s="49" t="s">
        <v>85</v>
      </c>
      <c r="D44" s="35">
        <v>70000</v>
      </c>
      <c r="E44" s="36">
        <v>23421</v>
      </c>
      <c r="F44" s="29" t="s">
        <v>57</v>
      </c>
      <c r="G44" s="37" t="s">
        <v>57</v>
      </c>
      <c r="H44" s="38">
        <f t="shared" si="3"/>
        <v>3.4341642228738999E-3</v>
      </c>
      <c r="I44" s="192"/>
      <c r="J44" s="193"/>
      <c r="K44" s="193"/>
      <c r="L44" s="39">
        <v>40000</v>
      </c>
      <c r="M44" s="39">
        <v>70000</v>
      </c>
      <c r="N44" s="39">
        <v>50000</v>
      </c>
      <c r="O44" s="150"/>
      <c r="P44" s="150"/>
      <c r="Q44" s="150"/>
    </row>
    <row r="45" spans="1:19" ht="14.25">
      <c r="A45" s="52"/>
      <c r="B45" s="53"/>
      <c r="C45" s="53"/>
      <c r="D45" s="52"/>
      <c r="E45" s="53"/>
      <c r="F45" s="53"/>
      <c r="G45" s="53"/>
      <c r="H45" s="53"/>
      <c r="I45" s="53"/>
      <c r="J45" s="53"/>
      <c r="K45" s="53"/>
      <c r="L45" s="53"/>
      <c r="M45" s="53"/>
      <c r="N45" s="53"/>
      <c r="O45" s="53"/>
    </row>
    <row r="46" spans="1:19" ht="14.25">
      <c r="A46" s="52"/>
      <c r="B46" s="53"/>
      <c r="C46" s="53"/>
      <c r="D46" s="52"/>
      <c r="E46" s="53"/>
      <c r="F46" s="53"/>
      <c r="G46" s="53"/>
      <c r="H46" s="53"/>
      <c r="I46" s="53"/>
      <c r="J46" s="53"/>
      <c r="K46" s="53"/>
      <c r="L46" s="53"/>
      <c r="M46" s="53"/>
      <c r="N46" s="53"/>
      <c r="O46" s="53"/>
    </row>
    <row r="47" spans="1:19" ht="14.25">
      <c r="A47" s="237" t="s">
        <v>371</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290</v>
      </c>
      <c r="D48" s="54" t="s">
        <v>372</v>
      </c>
      <c r="E48" s="54" t="s">
        <v>129</v>
      </c>
      <c r="F48" s="54" t="s">
        <v>19</v>
      </c>
      <c r="G48" s="54" t="s">
        <v>20</v>
      </c>
      <c r="H48" s="238" t="s">
        <v>21</v>
      </c>
      <c r="I48" s="238"/>
      <c r="J48" s="238"/>
      <c r="K48" s="238"/>
      <c r="L48" s="55" t="s">
        <v>289</v>
      </c>
      <c r="M48" s="55" t="s">
        <v>290</v>
      </c>
      <c r="N48" s="55" t="s">
        <v>291</v>
      </c>
      <c r="O48" s="210" t="s">
        <v>373</v>
      </c>
      <c r="P48" s="210"/>
      <c r="Q48" s="210"/>
      <c r="R48" s="210" t="s">
        <v>374</v>
      </c>
      <c r="S48" s="210"/>
    </row>
    <row r="49" spans="1:19" ht="31.5" customHeight="1">
      <c r="A49" s="164" t="s">
        <v>88</v>
      </c>
      <c r="B49" s="40" t="s">
        <v>89</v>
      </c>
      <c r="C49" s="56">
        <v>4647851.37</v>
      </c>
      <c r="D49" s="57">
        <v>4449851.97</v>
      </c>
      <c r="E49" s="26">
        <v>2871732.92</v>
      </c>
      <c r="F49" s="28">
        <f>(D49-E49)/E49</f>
        <v>0.54953545262140902</v>
      </c>
      <c r="G49" s="28">
        <f>D49/6665865</f>
        <v>0.66755806935784001</v>
      </c>
      <c r="H49" s="150" t="s">
        <v>375</v>
      </c>
      <c r="I49" s="150"/>
      <c r="J49" s="150"/>
      <c r="K49" s="150"/>
      <c r="L49" s="29" t="s">
        <v>309</v>
      </c>
      <c r="M49" s="56" t="s">
        <v>310</v>
      </c>
      <c r="N49" s="56" t="s">
        <v>311</v>
      </c>
      <c r="O49" s="231" t="s">
        <v>376</v>
      </c>
      <c r="P49" s="232"/>
      <c r="Q49" s="233"/>
      <c r="R49" s="150" t="s">
        <v>377</v>
      </c>
      <c r="S49" s="161"/>
    </row>
    <row r="50" spans="1:19" ht="28.5" customHeight="1">
      <c r="A50" s="165"/>
      <c r="B50" s="40" t="s">
        <v>91</v>
      </c>
      <c r="C50" s="56">
        <v>2019410.23</v>
      </c>
      <c r="D50" s="57">
        <v>1919947.89</v>
      </c>
      <c r="E50" s="26">
        <v>1286926.94</v>
      </c>
      <c r="F50" s="28">
        <f>(D50-E50)/E50</f>
        <v>0.49188569321580899</v>
      </c>
      <c r="G50" s="28">
        <f>D50/6665865</f>
        <v>0.28802681872495201</v>
      </c>
      <c r="H50" s="150"/>
      <c r="I50" s="150"/>
      <c r="J50" s="150"/>
      <c r="K50" s="150"/>
      <c r="L50" s="29" t="s">
        <v>314</v>
      </c>
      <c r="M50" s="56" t="s">
        <v>252</v>
      </c>
      <c r="N50" s="56" t="s">
        <v>247</v>
      </c>
      <c r="O50" s="231" t="s">
        <v>378</v>
      </c>
      <c r="P50" s="232"/>
      <c r="Q50" s="233"/>
      <c r="R50" s="150" t="s">
        <v>379</v>
      </c>
      <c r="S50" s="161"/>
    </row>
    <row r="51" spans="1:19" ht="30.75" customHeight="1">
      <c r="A51" s="164" t="s">
        <v>92</v>
      </c>
      <c r="B51" s="58" t="s">
        <v>93</v>
      </c>
      <c r="C51" s="56" t="s">
        <v>319</v>
      </c>
      <c r="D51" s="57">
        <v>1016381.09</v>
      </c>
      <c r="E51" s="26">
        <v>512031.68</v>
      </c>
      <c r="F51" s="28">
        <f>(D51-E51)/E51</f>
        <v>0.984996494748137</v>
      </c>
      <c r="G51" s="28">
        <f>D51/6665865</f>
        <v>0.15247549867871599</v>
      </c>
      <c r="H51" s="150" t="s">
        <v>380</v>
      </c>
      <c r="I51" s="161"/>
      <c r="J51" s="161"/>
      <c r="K51" s="161"/>
      <c r="L51" s="29" t="s">
        <v>318</v>
      </c>
      <c r="M51" s="56" t="s">
        <v>319</v>
      </c>
      <c r="N51" s="56" t="s">
        <v>320</v>
      </c>
      <c r="O51" s="231" t="s">
        <v>381</v>
      </c>
      <c r="P51" s="232"/>
      <c r="Q51" s="233"/>
      <c r="R51" s="150" t="s">
        <v>322</v>
      </c>
      <c r="S51" s="161"/>
    </row>
    <row r="52" spans="1:19" ht="30.75" customHeight="1">
      <c r="A52" s="165"/>
      <c r="B52" s="40" t="s">
        <v>95</v>
      </c>
      <c r="C52" s="56" t="s">
        <v>324</v>
      </c>
      <c r="D52" s="57">
        <v>3908761</v>
      </c>
      <c r="E52" s="26">
        <v>1389141</v>
      </c>
      <c r="F52" s="28">
        <f>(D52-E52)/E52</f>
        <v>1.8137971595396001</v>
      </c>
      <c r="G52" s="28">
        <f>D52/6665865</f>
        <v>0.58638466275569601</v>
      </c>
      <c r="H52" s="150" t="s">
        <v>382</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9"/>
      <c r="B54" s="53"/>
      <c r="C54" s="53"/>
      <c r="D54" s="53"/>
      <c r="E54" s="53"/>
      <c r="F54" s="53"/>
      <c r="G54" s="53"/>
      <c r="H54" s="53"/>
      <c r="I54" s="53"/>
      <c r="J54" s="53"/>
      <c r="K54" s="53"/>
      <c r="L54" s="53"/>
      <c r="M54" s="53"/>
      <c r="N54" s="53"/>
      <c r="O54" s="53"/>
    </row>
    <row r="55" spans="1:19" ht="21" customHeight="1">
      <c r="A55" s="55" t="s">
        <v>383</v>
      </c>
      <c r="B55" s="55" t="s">
        <v>98</v>
      </c>
      <c r="C55" s="55" t="s">
        <v>99</v>
      </c>
      <c r="D55" s="55" t="s">
        <v>100</v>
      </c>
      <c r="E55" s="265" t="s">
        <v>101</v>
      </c>
      <c r="F55" s="266"/>
      <c r="G55" s="210" t="s">
        <v>102</v>
      </c>
      <c r="H55" s="210"/>
      <c r="I55" s="210" t="s">
        <v>21</v>
      </c>
      <c r="J55" s="265"/>
      <c r="K55" s="210" t="s">
        <v>384</v>
      </c>
      <c r="L55" s="210"/>
      <c r="M55" s="210"/>
      <c r="N55" s="59"/>
    </row>
    <row r="56" spans="1:19" ht="29.25" customHeight="1">
      <c r="A56" s="25" t="s">
        <v>89</v>
      </c>
      <c r="B56" s="26">
        <v>14754</v>
      </c>
      <c r="C56" s="26">
        <v>1263738</v>
      </c>
      <c r="D56" s="60">
        <f t="shared" ref="D56:D60" si="6">C56/B56</f>
        <v>85.653924359495704</v>
      </c>
      <c r="E56" s="269" t="s">
        <v>385</v>
      </c>
      <c r="F56" s="270"/>
      <c r="G56" s="150" t="s">
        <v>386</v>
      </c>
      <c r="H56" s="150"/>
      <c r="I56" s="189" t="s">
        <v>387</v>
      </c>
      <c r="J56" s="190"/>
      <c r="K56" s="150" t="s">
        <v>388</v>
      </c>
      <c r="L56" s="150"/>
      <c r="M56" s="150"/>
      <c r="N56" s="44"/>
    </row>
    <row r="57" spans="1:19" ht="21.75" customHeight="1">
      <c r="A57" s="25" t="s">
        <v>19</v>
      </c>
      <c r="B57" s="28">
        <v>0.57869999999999999</v>
      </c>
      <c r="C57" s="28">
        <v>1.0981000000000001</v>
      </c>
      <c r="D57" s="28">
        <v>0.27329999999999999</v>
      </c>
      <c r="E57" s="270"/>
      <c r="F57" s="270"/>
      <c r="G57" s="150"/>
      <c r="H57" s="150"/>
      <c r="I57" s="195"/>
      <c r="J57" s="176"/>
      <c r="K57" s="150"/>
      <c r="L57" s="150"/>
      <c r="M57" s="150"/>
      <c r="N57" s="44"/>
    </row>
    <row r="58" spans="1:19" ht="27" customHeight="1">
      <c r="A58" s="25" t="s">
        <v>91</v>
      </c>
      <c r="B58" s="26">
        <v>8920</v>
      </c>
      <c r="C58" s="26">
        <v>1044571</v>
      </c>
      <c r="D58" s="60">
        <f t="shared" si="6"/>
        <v>117.104372197309</v>
      </c>
      <c r="E58" s="271" t="s">
        <v>389</v>
      </c>
      <c r="F58" s="272"/>
      <c r="G58" s="150" t="s">
        <v>390</v>
      </c>
      <c r="H58" s="150"/>
      <c r="I58" s="195"/>
      <c r="J58" s="176"/>
      <c r="K58" s="150"/>
      <c r="L58" s="150"/>
      <c r="M58" s="150"/>
      <c r="N58" s="44"/>
    </row>
    <row r="59" spans="1:19" ht="25.5" customHeight="1">
      <c r="A59" s="25" t="s">
        <v>19</v>
      </c>
      <c r="B59" s="28">
        <v>0.41539999999999999</v>
      </c>
      <c r="C59" s="28">
        <v>1.526</v>
      </c>
      <c r="D59" s="28">
        <v>0.86919999999999997</v>
      </c>
      <c r="E59" s="272"/>
      <c r="F59" s="272"/>
      <c r="G59" s="150"/>
      <c r="H59" s="150"/>
      <c r="I59" s="192"/>
      <c r="J59" s="193"/>
      <c r="K59" s="150"/>
      <c r="L59" s="150"/>
      <c r="M59" s="150"/>
      <c r="N59" s="44"/>
    </row>
    <row r="60" spans="1:19" ht="29.25" customHeight="1">
      <c r="A60" s="25" t="s">
        <v>97</v>
      </c>
      <c r="B60" s="26">
        <f>B58+B56</f>
        <v>23674</v>
      </c>
      <c r="C60" s="26">
        <f>C58+C56</f>
        <v>2308309</v>
      </c>
      <c r="D60" s="60">
        <f t="shared" si="6"/>
        <v>97.503970600658903</v>
      </c>
      <c r="E60" s="273" t="s">
        <v>391</v>
      </c>
      <c r="F60" s="273"/>
      <c r="G60" s="273"/>
      <c r="H60" s="273"/>
      <c r="I60" s="273"/>
      <c r="J60" s="274"/>
      <c r="K60" s="150"/>
      <c r="L60" s="150"/>
      <c r="M60" s="150"/>
      <c r="N60" s="44"/>
    </row>
    <row r="61" spans="1:19" ht="27.75" customHeight="1">
      <c r="A61" s="42" t="s">
        <v>19</v>
      </c>
      <c r="B61" s="28">
        <v>0.51290000000000002</v>
      </c>
      <c r="C61" s="28">
        <v>1.2723</v>
      </c>
      <c r="D61" s="28">
        <v>0.49320000000000003</v>
      </c>
      <c r="E61" s="273"/>
      <c r="F61" s="273"/>
      <c r="G61" s="273"/>
      <c r="H61" s="273"/>
      <c r="I61" s="273"/>
      <c r="J61" s="274"/>
      <c r="K61" s="150"/>
      <c r="L61" s="150"/>
      <c r="M61" s="150"/>
      <c r="N61" s="44"/>
    </row>
    <row r="64" spans="1:19" ht="15">
      <c r="A64" s="165" t="s">
        <v>109</v>
      </c>
      <c r="B64" s="62" t="s">
        <v>110</v>
      </c>
      <c r="C64" s="62" t="s">
        <v>111</v>
      </c>
      <c r="D64" s="62" t="s">
        <v>112</v>
      </c>
      <c r="E64" s="62" t="s">
        <v>113</v>
      </c>
      <c r="F64" s="62" t="s">
        <v>262</v>
      </c>
      <c r="G64" s="62" t="s">
        <v>263</v>
      </c>
      <c r="I64" s="63" t="s">
        <v>42</v>
      </c>
      <c r="J64" s="63" t="s">
        <v>392</v>
      </c>
      <c r="K64" s="63" t="s">
        <v>393</v>
      </c>
      <c r="L64" s="63" t="s">
        <v>394</v>
      </c>
      <c r="M64" s="63" t="s">
        <v>395</v>
      </c>
      <c r="N64" s="63" t="s">
        <v>396</v>
      </c>
      <c r="O64" s="63" t="s">
        <v>397</v>
      </c>
      <c r="P64" s="63" t="s">
        <v>398</v>
      </c>
    </row>
    <row r="65" spans="1:16" ht="14.25">
      <c r="A65" s="165"/>
      <c r="B65" s="25" t="s">
        <v>399</v>
      </c>
      <c r="C65" s="72">
        <v>10428</v>
      </c>
      <c r="D65" s="72">
        <v>10539</v>
      </c>
      <c r="E65" s="72">
        <v>151114</v>
      </c>
      <c r="F65" s="212">
        <v>27</v>
      </c>
      <c r="G65" s="212">
        <v>2864</v>
      </c>
      <c r="I65" s="65" t="s">
        <v>400</v>
      </c>
      <c r="J65" s="50" t="s">
        <v>401</v>
      </c>
      <c r="K65" s="25">
        <v>7.9</v>
      </c>
      <c r="L65" s="25">
        <v>1</v>
      </c>
      <c r="M65" s="25">
        <v>9000</v>
      </c>
      <c r="N65" s="25">
        <v>9000</v>
      </c>
      <c r="O65" s="25" t="s">
        <v>402</v>
      </c>
      <c r="P65" s="239" t="s">
        <v>403</v>
      </c>
    </row>
    <row r="66" spans="1:16" ht="14.25">
      <c r="A66" s="165"/>
      <c r="B66" s="42" t="s">
        <v>117</v>
      </c>
      <c r="C66" s="42">
        <v>505</v>
      </c>
      <c r="D66" s="42">
        <v>658</v>
      </c>
      <c r="E66" s="72">
        <v>25596</v>
      </c>
      <c r="F66" s="213"/>
      <c r="G66" s="213"/>
      <c r="I66" s="65" t="s">
        <v>404</v>
      </c>
      <c r="J66" s="50" t="s">
        <v>405</v>
      </c>
      <c r="K66" s="25">
        <v>14.9</v>
      </c>
      <c r="L66" s="25">
        <v>1</v>
      </c>
      <c r="M66" s="25">
        <v>500</v>
      </c>
      <c r="N66" s="25">
        <v>500</v>
      </c>
      <c r="O66" s="25" t="s">
        <v>402</v>
      </c>
      <c r="P66" s="240"/>
    </row>
    <row r="67" spans="1:16" ht="14.25">
      <c r="A67" s="165"/>
      <c r="B67" s="42" t="s">
        <v>118</v>
      </c>
      <c r="C67" s="42">
        <v>1590</v>
      </c>
      <c r="D67" s="42">
        <v>1735</v>
      </c>
      <c r="E67" s="73">
        <v>68460.94</v>
      </c>
      <c r="F67" s="168"/>
      <c r="G67" s="168"/>
      <c r="I67" s="65" t="s">
        <v>406</v>
      </c>
      <c r="J67" s="50" t="s">
        <v>407</v>
      </c>
      <c r="K67" s="25">
        <v>14.9</v>
      </c>
      <c r="L67" s="25">
        <v>1</v>
      </c>
      <c r="M67" s="25">
        <v>500</v>
      </c>
      <c r="N67" s="25">
        <v>500</v>
      </c>
      <c r="O67" s="25" t="s">
        <v>402</v>
      </c>
      <c r="P67" s="240"/>
    </row>
    <row r="68" spans="1:16" ht="36.75" customHeight="1">
      <c r="A68" s="187" t="s">
        <v>408</v>
      </c>
      <c r="B68" s="188"/>
      <c r="C68" s="188"/>
      <c r="D68" s="188"/>
      <c r="E68" s="188"/>
      <c r="F68" s="188"/>
      <c r="G68" s="188"/>
      <c r="I68" s="65" t="s">
        <v>409</v>
      </c>
      <c r="J68" s="50" t="s">
        <v>410</v>
      </c>
      <c r="K68" s="25">
        <v>9.9</v>
      </c>
      <c r="L68" s="25">
        <v>2.9</v>
      </c>
      <c r="M68" s="25">
        <v>2000</v>
      </c>
      <c r="N68" s="25">
        <v>5800</v>
      </c>
      <c r="O68" s="25" t="s">
        <v>402</v>
      </c>
      <c r="P68" s="240"/>
    </row>
    <row r="69" spans="1:16" ht="14.25">
      <c r="I69" s="65" t="s">
        <v>273</v>
      </c>
      <c r="J69" s="50" t="s">
        <v>411</v>
      </c>
      <c r="K69" s="25">
        <v>9.9</v>
      </c>
      <c r="L69" s="25">
        <v>2.9</v>
      </c>
      <c r="M69" s="25">
        <v>2500</v>
      </c>
      <c r="N69" s="25">
        <v>7250</v>
      </c>
      <c r="O69" s="25" t="s">
        <v>402</v>
      </c>
      <c r="P69" s="240"/>
    </row>
    <row r="70" spans="1:16" ht="14.25">
      <c r="I70" s="65" t="s">
        <v>412</v>
      </c>
      <c r="J70" s="50" t="s">
        <v>413</v>
      </c>
      <c r="K70" s="25">
        <v>25.9</v>
      </c>
      <c r="L70" s="25">
        <v>9.9</v>
      </c>
      <c r="M70" s="25">
        <v>4000</v>
      </c>
      <c r="N70" s="25">
        <v>39600</v>
      </c>
      <c r="O70" s="25" t="s">
        <v>402</v>
      </c>
      <c r="P70" s="240"/>
    </row>
    <row r="71" spans="1:16" ht="14.25">
      <c r="A71" s="32" t="s">
        <v>42</v>
      </c>
      <c r="B71" s="32" t="s">
        <v>43</v>
      </c>
      <c r="C71" s="32" t="s">
        <v>266</v>
      </c>
      <c r="D71" s="32" t="s">
        <v>267</v>
      </c>
      <c r="E71" s="32" t="s">
        <v>268</v>
      </c>
      <c r="I71" s="65" t="s">
        <v>414</v>
      </c>
      <c r="J71" s="50" t="s">
        <v>415</v>
      </c>
      <c r="K71" s="25">
        <v>6.9</v>
      </c>
      <c r="L71" s="25">
        <v>4.9000000000000004</v>
      </c>
      <c r="M71" s="25">
        <v>1500</v>
      </c>
      <c r="N71" s="25">
        <v>7350</v>
      </c>
      <c r="O71" s="25" t="s">
        <v>402</v>
      </c>
      <c r="P71" s="240"/>
    </row>
    <row r="72" spans="1:16" ht="14.25">
      <c r="A72" s="133" t="s">
        <v>269</v>
      </c>
      <c r="B72" s="25" t="s">
        <v>270</v>
      </c>
      <c r="C72" s="42">
        <v>17.899999999999999</v>
      </c>
      <c r="D72" s="42">
        <v>4174</v>
      </c>
      <c r="E72" s="26">
        <f>C72*D72</f>
        <v>74714.600000000006</v>
      </c>
      <c r="I72" s="130" t="s">
        <v>269</v>
      </c>
      <c r="J72" s="50" t="s">
        <v>347</v>
      </c>
      <c r="K72" s="42">
        <v>29</v>
      </c>
      <c r="L72" s="42">
        <v>17.899999999999999</v>
      </c>
      <c r="M72" s="42">
        <v>5000</v>
      </c>
      <c r="N72" s="42">
        <f t="shared" ref="N72:N77" si="7">M72*L72</f>
        <v>89500</v>
      </c>
      <c r="O72" s="25" t="s">
        <v>416</v>
      </c>
      <c r="P72" s="240"/>
    </row>
    <row r="73" spans="1:16" ht="14.25">
      <c r="A73" s="133" t="s">
        <v>271</v>
      </c>
      <c r="B73" s="25" t="s">
        <v>417</v>
      </c>
      <c r="C73" s="42">
        <v>19.899999999999999</v>
      </c>
      <c r="D73" s="42">
        <v>693</v>
      </c>
      <c r="E73" s="26">
        <f>C73*D73</f>
        <v>13790.7</v>
      </c>
      <c r="I73" s="130" t="s">
        <v>271</v>
      </c>
      <c r="J73" s="50" t="s">
        <v>417</v>
      </c>
      <c r="K73" s="42">
        <v>39</v>
      </c>
      <c r="L73" s="42">
        <v>19.899999999999999</v>
      </c>
      <c r="M73" s="42">
        <v>3000</v>
      </c>
      <c r="N73" s="42">
        <f t="shared" si="7"/>
        <v>59700</v>
      </c>
      <c r="O73" s="25" t="s">
        <v>416</v>
      </c>
      <c r="P73" s="240"/>
    </row>
    <row r="74" spans="1:16" ht="14.25">
      <c r="A74" s="133" t="s">
        <v>412</v>
      </c>
      <c r="B74" s="25" t="s">
        <v>418</v>
      </c>
      <c r="C74" s="42">
        <v>19.899999999999999</v>
      </c>
      <c r="D74" s="42">
        <v>426</v>
      </c>
      <c r="E74" s="26">
        <f>C74*D74</f>
        <v>8477.4</v>
      </c>
      <c r="I74" s="130" t="s">
        <v>419</v>
      </c>
      <c r="J74" s="50" t="s">
        <v>420</v>
      </c>
      <c r="K74" s="42">
        <v>49</v>
      </c>
      <c r="L74" s="42">
        <v>29.9</v>
      </c>
      <c r="M74" s="42">
        <v>1000</v>
      </c>
      <c r="N74" s="42">
        <f t="shared" si="7"/>
        <v>29900</v>
      </c>
      <c r="O74" s="25" t="s">
        <v>416</v>
      </c>
      <c r="P74" s="240"/>
    </row>
    <row r="75" spans="1:16" ht="14.25">
      <c r="I75" s="130" t="s">
        <v>275</v>
      </c>
      <c r="J75" s="50" t="s">
        <v>421</v>
      </c>
      <c r="K75" s="42">
        <v>29.9</v>
      </c>
      <c r="L75" s="25">
        <v>19.899999999999999</v>
      </c>
      <c r="M75" s="25">
        <v>800</v>
      </c>
      <c r="N75" s="42">
        <f t="shared" si="7"/>
        <v>15920</v>
      </c>
      <c r="O75" s="25" t="s">
        <v>416</v>
      </c>
      <c r="P75" s="240"/>
    </row>
    <row r="76" spans="1:16" ht="14.25">
      <c r="I76" s="130" t="s">
        <v>422</v>
      </c>
      <c r="J76" s="50" t="s">
        <v>423</v>
      </c>
      <c r="K76" s="42">
        <v>39.9</v>
      </c>
      <c r="L76" s="25">
        <v>25</v>
      </c>
      <c r="M76" s="25">
        <v>1000</v>
      </c>
      <c r="N76" s="42">
        <f t="shared" si="7"/>
        <v>25000</v>
      </c>
      <c r="O76" s="25" t="s">
        <v>416</v>
      </c>
      <c r="P76" s="240"/>
    </row>
    <row r="77" spans="1:16" ht="14.25">
      <c r="A77" s="267" t="s">
        <v>110</v>
      </c>
      <c r="B77" s="267" t="s">
        <v>424</v>
      </c>
      <c r="C77" s="267"/>
      <c r="D77" s="267"/>
      <c r="E77" s="74"/>
      <c r="I77" s="134" t="s">
        <v>425</v>
      </c>
      <c r="J77" s="66" t="s">
        <v>426</v>
      </c>
      <c r="K77" s="33">
        <v>49.9</v>
      </c>
      <c r="L77" s="45">
        <v>29.9</v>
      </c>
      <c r="M77" s="45">
        <v>1000</v>
      </c>
      <c r="N77" s="33">
        <f t="shared" si="7"/>
        <v>29900</v>
      </c>
      <c r="O77" s="25" t="s">
        <v>416</v>
      </c>
      <c r="P77" s="240"/>
    </row>
    <row r="78" spans="1:16" ht="14.25">
      <c r="A78" s="267"/>
      <c r="B78" s="58" t="s">
        <v>427</v>
      </c>
      <c r="C78" s="58" t="s">
        <v>428</v>
      </c>
      <c r="D78" s="58" t="s">
        <v>429</v>
      </c>
      <c r="E78" s="74"/>
      <c r="I78" s="268" t="s">
        <v>430</v>
      </c>
      <c r="J78" s="268"/>
      <c r="K78" s="268"/>
      <c r="L78" s="268"/>
      <c r="M78" s="268"/>
      <c r="N78" s="268"/>
      <c r="O78" s="268"/>
      <c r="P78" s="268"/>
    </row>
    <row r="79" spans="1:16" ht="14.25">
      <c r="A79" s="70">
        <v>46116</v>
      </c>
      <c r="B79" s="42">
        <v>4033</v>
      </c>
      <c r="C79" s="42">
        <v>1372.85</v>
      </c>
      <c r="D79" s="42">
        <v>2234</v>
      </c>
      <c r="E79" s="22" t="s">
        <v>431</v>
      </c>
    </row>
    <row r="80" spans="1:16" ht="14.25">
      <c r="A80" s="70">
        <v>46124</v>
      </c>
      <c r="B80" s="42">
        <v>40490</v>
      </c>
      <c r="C80" s="42">
        <v>5092.3999999999996</v>
      </c>
      <c r="D80" s="42">
        <v>19856</v>
      </c>
      <c r="E80" s="22" t="s">
        <v>432</v>
      </c>
    </row>
    <row r="81" spans="1:5" ht="14.25">
      <c r="A81" s="70">
        <v>46169</v>
      </c>
      <c r="B81" s="42">
        <v>8565</v>
      </c>
      <c r="C81" s="42">
        <v>2262.4</v>
      </c>
      <c r="D81" s="42">
        <v>4753</v>
      </c>
      <c r="E81" s="22" t="s">
        <v>432</v>
      </c>
    </row>
  </sheetData>
  <sheetProtection formatCells="0" formatColumns="0" formatRows="0" insertColumns="0" insertRows="0" insertHyperlinks="0" deleteColumns="0" deleteRows="0" sort="0" autoFilter="0" pivotTables="0"/>
  <mergeCells count="70">
    <mergeCell ref="E56:F57"/>
    <mergeCell ref="G56:H57"/>
    <mergeCell ref="I56:J59"/>
    <mergeCell ref="K56:M61"/>
    <mergeCell ref="E58:F59"/>
    <mergeCell ref="G58:H59"/>
    <mergeCell ref="E60:J61"/>
    <mergeCell ref="P65:P77"/>
    <mergeCell ref="E6:G7"/>
    <mergeCell ref="G12:J13"/>
    <mergeCell ref="G16:J17"/>
    <mergeCell ref="I25:K26"/>
    <mergeCell ref="O25:Q31"/>
    <mergeCell ref="I27:K28"/>
    <mergeCell ref="I29:K31"/>
    <mergeCell ref="I32:K37"/>
    <mergeCell ref="O32:Q37"/>
    <mergeCell ref="I38:K39"/>
    <mergeCell ref="O38:Q39"/>
    <mergeCell ref="I41:K42"/>
    <mergeCell ref="O41:Q44"/>
    <mergeCell ref="I43:K44"/>
    <mergeCell ref="H49:K50"/>
    <mergeCell ref="A68:G68"/>
    <mergeCell ref="B77:D77"/>
    <mergeCell ref="I78:P78"/>
    <mergeCell ref="A12:A13"/>
    <mergeCell ref="A14:A15"/>
    <mergeCell ref="A16:A18"/>
    <mergeCell ref="A25:A31"/>
    <mergeCell ref="A32:A37"/>
    <mergeCell ref="A38:A40"/>
    <mergeCell ref="A41:A44"/>
    <mergeCell ref="A49:A50"/>
    <mergeCell ref="A51:A52"/>
    <mergeCell ref="A64:A67"/>
    <mergeCell ref="A77:A78"/>
    <mergeCell ref="F65:F67"/>
    <mergeCell ref="G65:G67"/>
    <mergeCell ref="H52:K52"/>
    <mergeCell ref="O52:Q52"/>
    <mergeCell ref="R52:S52"/>
    <mergeCell ref="E55:F55"/>
    <mergeCell ref="G55:H55"/>
    <mergeCell ref="I55:J55"/>
    <mergeCell ref="K55:M55"/>
    <mergeCell ref="O49:Q49"/>
    <mergeCell ref="R49:S49"/>
    <mergeCell ref="O50:Q50"/>
    <mergeCell ref="R50:S50"/>
    <mergeCell ref="H51:K51"/>
    <mergeCell ref="O51:Q51"/>
    <mergeCell ref="R51:S51"/>
    <mergeCell ref="I40:K40"/>
    <mergeCell ref="O40:Q40"/>
    <mergeCell ref="A47:S47"/>
    <mergeCell ref="A48:B48"/>
    <mergeCell ref="H48:K48"/>
    <mergeCell ref="O48:Q48"/>
    <mergeCell ref="R48:S48"/>
    <mergeCell ref="G15:J15"/>
    <mergeCell ref="G18:J18"/>
    <mergeCell ref="A23:Q23"/>
    <mergeCell ref="I24:K24"/>
    <mergeCell ref="O24:Q24"/>
    <mergeCell ref="A1:G1"/>
    <mergeCell ref="A10:J10"/>
    <mergeCell ref="A11:B11"/>
    <mergeCell ref="G11:J11"/>
    <mergeCell ref="G14:J14"/>
  </mergeCells>
  <phoneticPr fontId="15" type="noConversion"/>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S81"/>
  <sheetViews>
    <sheetView workbookViewId="0">
      <selection sqref="A1:G1"/>
    </sheetView>
  </sheetViews>
  <sheetFormatPr defaultColWidth="9" defaultRowHeight="13.5"/>
  <cols>
    <col min="1" max="1" width="11.75" customWidth="1"/>
    <col min="2" max="2" width="14.375" customWidth="1"/>
    <col min="3" max="3" width="26.125" customWidth="1"/>
    <col min="4" max="4" width="14.875" customWidth="1"/>
    <col min="5" max="5" width="15.125" customWidth="1"/>
    <col min="6" max="6" width="17.25" customWidth="1"/>
    <col min="7" max="7" width="18" customWidth="1"/>
    <col min="8" max="8" width="14.5" customWidth="1"/>
    <col min="9" max="9" width="12.125" customWidth="1"/>
    <col min="10" max="10" width="20.75" customWidth="1"/>
    <col min="11" max="11" width="12.625" customWidth="1"/>
    <col min="12" max="12" width="16" customWidth="1"/>
    <col min="13" max="13" width="13.5" customWidth="1"/>
    <col min="14" max="14" width="10.25" customWidth="1"/>
    <col min="15" max="15" width="17.375" customWidth="1"/>
    <col min="16" max="16" width="23.5" customWidth="1"/>
    <col min="17" max="18" width="11.25" customWidth="1"/>
    <col min="19" max="19" width="15.75" customWidth="1"/>
  </cols>
  <sheetData>
    <row r="1" spans="1:10" ht="14.25" customHeight="1">
      <c r="A1" s="136" t="s">
        <v>433</v>
      </c>
      <c r="B1" s="137"/>
      <c r="C1" s="137"/>
      <c r="D1" s="137"/>
      <c r="E1" s="137"/>
      <c r="F1" s="137"/>
      <c r="G1" s="137"/>
    </row>
    <row r="2" spans="1:10" ht="14.25">
      <c r="A2" s="4" t="s">
        <v>1</v>
      </c>
      <c r="B2" s="4" t="s">
        <v>2</v>
      </c>
      <c r="C2" s="4" t="s">
        <v>3</v>
      </c>
      <c r="D2" s="4" t="s">
        <v>4</v>
      </c>
      <c r="E2" s="4" t="s">
        <v>5</v>
      </c>
      <c r="F2" s="4" t="s">
        <v>6</v>
      </c>
      <c r="G2" s="4" t="s">
        <v>7</v>
      </c>
    </row>
    <row r="3" spans="1:10" ht="14.25">
      <c r="A3" s="5" t="s">
        <v>9</v>
      </c>
      <c r="B3" s="17">
        <v>5390</v>
      </c>
      <c r="C3" s="17">
        <v>4677</v>
      </c>
      <c r="D3" s="7">
        <f t="shared" ref="D3:D7" si="0">(C3-B3)/B3</f>
        <v>-0.132282003710575</v>
      </c>
      <c r="E3" s="7">
        <f>B3/(B3+B4+B5)</f>
        <v>0.49449132988810202</v>
      </c>
      <c r="F3" s="7">
        <f>C3/(C3+C4+C5)</f>
        <v>0.41215037275947802</v>
      </c>
      <c r="G3" s="7">
        <f>F3-E3</f>
        <v>-8.2340957128624201E-2</v>
      </c>
      <c r="H3" s="22"/>
    </row>
    <row r="4" spans="1:10" ht="14.25">
      <c r="A4" s="8" t="s">
        <v>11</v>
      </c>
      <c r="B4" s="17">
        <v>4636</v>
      </c>
      <c r="C4" s="17">
        <v>5592</v>
      </c>
      <c r="D4" s="7">
        <f t="shared" si="0"/>
        <v>0.206212251941329</v>
      </c>
      <c r="E4" s="7">
        <f>B4/(B4+B5+B3)</f>
        <v>0.42531758912082401</v>
      </c>
      <c r="F4" s="7">
        <f>C4/(C3+C4+C5)</f>
        <v>0.49278274202929201</v>
      </c>
      <c r="G4" s="7">
        <f>F4-E4</f>
        <v>6.7465152908468301E-2</v>
      </c>
    </row>
    <row r="5" spans="1:10" ht="14.25">
      <c r="A5" s="8" t="s">
        <v>12</v>
      </c>
      <c r="B5" s="17">
        <v>874.09</v>
      </c>
      <c r="C5" s="17">
        <v>1078.8</v>
      </c>
      <c r="D5" s="7">
        <f t="shared" si="0"/>
        <v>0.234197851479825</v>
      </c>
      <c r="E5" s="13">
        <f>B5/(B5+B4+B3)</f>
        <v>8.0191080991074401E-2</v>
      </c>
      <c r="F5" s="13">
        <f>C5/(C3+C4+C5)</f>
        <v>9.5066885211230398E-2</v>
      </c>
      <c r="G5" s="13">
        <f>F5-E5</f>
        <v>1.4875804220156E-2</v>
      </c>
    </row>
    <row r="6" spans="1:10" ht="29.65" customHeight="1">
      <c r="A6" s="8" t="s">
        <v>13</v>
      </c>
      <c r="B6" s="18">
        <v>515.77</v>
      </c>
      <c r="C6" s="18">
        <v>832.8</v>
      </c>
      <c r="D6" s="7">
        <f t="shared" si="0"/>
        <v>0.614673207049654</v>
      </c>
      <c r="E6" s="249" t="s">
        <v>434</v>
      </c>
      <c r="F6" s="250"/>
      <c r="G6" s="250"/>
    </row>
    <row r="7" spans="1:10" ht="42.75" customHeight="1">
      <c r="A7" s="19" t="s">
        <v>14</v>
      </c>
      <c r="B7" s="20">
        <v>444.77</v>
      </c>
      <c r="C7" s="21">
        <v>679</v>
      </c>
      <c r="D7" s="7">
        <f t="shared" si="0"/>
        <v>0.52663174224880305</v>
      </c>
      <c r="E7" s="250"/>
      <c r="F7" s="250"/>
      <c r="G7" s="250"/>
    </row>
    <row r="10" spans="1:10" ht="14.25">
      <c r="A10" s="141" t="s">
        <v>435</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2693969</v>
      </c>
      <c r="D12" s="26">
        <v>1493737</v>
      </c>
      <c r="E12" s="27">
        <f t="shared" ref="E12:E18" si="1">(C12-D12)/D12</f>
        <v>0.80350958702904196</v>
      </c>
      <c r="F12" s="28">
        <f>C12/8330000</f>
        <v>0.32340564225690299</v>
      </c>
      <c r="G12" s="228" t="s">
        <v>356</v>
      </c>
      <c r="H12" s="254"/>
      <c r="I12" s="254"/>
      <c r="J12" s="255"/>
    </row>
    <row r="13" spans="1:10" ht="14.25">
      <c r="A13" s="164"/>
      <c r="B13" s="25" t="s">
        <v>25</v>
      </c>
      <c r="C13" s="26">
        <v>183162</v>
      </c>
      <c r="D13" s="26">
        <v>132769</v>
      </c>
      <c r="E13" s="27">
        <f t="shared" si="1"/>
        <v>0.37955396214477799</v>
      </c>
      <c r="F13" s="28">
        <f t="shared" ref="F13:F18" si="2">C13/8330000</f>
        <v>2.19882352941176E-2</v>
      </c>
      <c r="G13" s="256"/>
      <c r="H13" s="257"/>
      <c r="I13" s="257"/>
      <c r="J13" s="258"/>
    </row>
    <row r="14" spans="1:10" ht="53.1" customHeight="1">
      <c r="A14" s="164" t="s">
        <v>26</v>
      </c>
      <c r="B14" s="25" t="s">
        <v>27</v>
      </c>
      <c r="C14" s="26">
        <v>4197103.08</v>
      </c>
      <c r="D14" s="26">
        <v>3107069.4</v>
      </c>
      <c r="E14" s="27">
        <f t="shared" si="1"/>
        <v>0.35082373119827998</v>
      </c>
      <c r="F14" s="28">
        <f t="shared" si="2"/>
        <v>0.50385391116446598</v>
      </c>
      <c r="G14" s="146" t="s">
        <v>357</v>
      </c>
      <c r="H14" s="147"/>
      <c r="I14" s="147"/>
      <c r="J14" s="147"/>
    </row>
    <row r="15" spans="1:10" ht="32.450000000000003" customHeight="1">
      <c r="A15" s="164"/>
      <c r="B15" s="25" t="s">
        <v>29</v>
      </c>
      <c r="C15" s="26">
        <v>2377261.91</v>
      </c>
      <c r="D15" s="26">
        <v>527043.59</v>
      </c>
      <c r="E15" s="27">
        <f t="shared" si="1"/>
        <v>3.5105603314519001</v>
      </c>
      <c r="F15" s="28">
        <f t="shared" si="2"/>
        <v>0.285385583433373</v>
      </c>
      <c r="G15" s="146" t="s">
        <v>358</v>
      </c>
      <c r="H15" s="147"/>
      <c r="I15" s="147"/>
      <c r="J15" s="147"/>
    </row>
    <row r="16" spans="1:10" ht="14.25">
      <c r="A16" s="164" t="s">
        <v>31</v>
      </c>
      <c r="B16" s="25" t="s">
        <v>34</v>
      </c>
      <c r="C16" s="26">
        <v>518469.37</v>
      </c>
      <c r="D16" s="29">
        <v>31680.799999999999</v>
      </c>
      <c r="E16" s="27">
        <f t="shared" si="1"/>
        <v>15.3654128052322</v>
      </c>
      <c r="F16" s="28">
        <f t="shared" si="2"/>
        <v>6.2241220888355299E-2</v>
      </c>
      <c r="G16" s="195" t="s">
        <v>359</v>
      </c>
      <c r="H16" s="176"/>
      <c r="I16" s="176"/>
      <c r="J16" s="177"/>
    </row>
    <row r="17" spans="1:17" ht="14.25">
      <c r="A17" s="164"/>
      <c r="B17" s="25" t="s">
        <v>36</v>
      </c>
      <c r="C17" s="26">
        <v>193686</v>
      </c>
      <c r="D17" s="26">
        <v>913033</v>
      </c>
      <c r="E17" s="27">
        <f t="shared" si="1"/>
        <v>-0.78786527978725895</v>
      </c>
      <c r="F17" s="28">
        <f t="shared" si="2"/>
        <v>2.3251620648259301E-2</v>
      </c>
      <c r="G17" s="195"/>
      <c r="H17" s="176"/>
      <c r="I17" s="176"/>
      <c r="J17" s="177"/>
    </row>
    <row r="18" spans="1:17" ht="30.75" customHeight="1">
      <c r="A18" s="164"/>
      <c r="B18" s="25" t="s">
        <v>37</v>
      </c>
      <c r="C18" s="26">
        <v>315000</v>
      </c>
      <c r="D18" s="26">
        <v>495000</v>
      </c>
      <c r="E18" s="27">
        <f t="shared" si="1"/>
        <v>-0.36363636363636398</v>
      </c>
      <c r="F18" s="28">
        <f t="shared" si="2"/>
        <v>3.78151260504202E-2</v>
      </c>
      <c r="G18" s="150" t="s">
        <v>360</v>
      </c>
      <c r="H18" s="161"/>
      <c r="I18" s="161"/>
      <c r="J18" s="161"/>
    </row>
    <row r="19" spans="1:17" ht="14.25">
      <c r="C19" s="30"/>
      <c r="D19" s="30"/>
      <c r="E19" s="31"/>
    </row>
    <row r="23" spans="1:17" ht="14.25">
      <c r="A23" s="251" t="s">
        <v>436</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290</v>
      </c>
      <c r="E24" s="32" t="s">
        <v>437</v>
      </c>
      <c r="F24" s="32" t="s">
        <v>129</v>
      </c>
      <c r="G24" s="32" t="s">
        <v>19</v>
      </c>
      <c r="H24" s="32" t="s">
        <v>20</v>
      </c>
      <c r="I24" s="153" t="s">
        <v>21</v>
      </c>
      <c r="J24" s="153"/>
      <c r="K24" s="153"/>
      <c r="L24" s="32" t="s">
        <v>289</v>
      </c>
      <c r="M24" s="32" t="s">
        <v>290</v>
      </c>
      <c r="N24" s="32" t="s">
        <v>291</v>
      </c>
      <c r="O24" s="153" t="s">
        <v>292</v>
      </c>
      <c r="P24" s="153"/>
      <c r="Q24" s="153"/>
    </row>
    <row r="25" spans="1:17" ht="35.65" customHeight="1">
      <c r="A25" s="212" t="s">
        <v>44</v>
      </c>
      <c r="B25" s="128" t="s">
        <v>45</v>
      </c>
      <c r="C25" s="34" t="s">
        <v>46</v>
      </c>
      <c r="D25" s="35">
        <v>1300000</v>
      </c>
      <c r="E25" s="36">
        <v>1597171</v>
      </c>
      <c r="F25" s="29">
        <v>615651</v>
      </c>
      <c r="G25" s="37">
        <f t="shared" ref="G25:G28" si="3">(E25-F25)/F25</f>
        <v>1.5942798760986301</v>
      </c>
      <c r="H25" s="38">
        <f>E25/8330000</f>
        <v>0.19173721488595399</v>
      </c>
      <c r="I25" s="189" t="s">
        <v>363</v>
      </c>
      <c r="J25" s="190"/>
      <c r="K25" s="190"/>
      <c r="L25" s="39">
        <v>1100000</v>
      </c>
      <c r="M25" s="39">
        <v>1300000</v>
      </c>
      <c r="N25" s="39">
        <v>1300000</v>
      </c>
      <c r="O25" s="150" t="s">
        <v>364</v>
      </c>
      <c r="P25" s="150"/>
      <c r="Q25" s="150"/>
    </row>
    <row r="26" spans="1:17" ht="27.95" customHeight="1">
      <c r="A26" s="213"/>
      <c r="B26" s="131" t="s">
        <v>48</v>
      </c>
      <c r="C26" s="41" t="s">
        <v>49</v>
      </c>
      <c r="D26" s="35">
        <v>850000</v>
      </c>
      <c r="E26" s="36">
        <v>2509367</v>
      </c>
      <c r="F26" s="29">
        <v>281165</v>
      </c>
      <c r="G26" s="37">
        <f t="shared" si="3"/>
        <v>7.9248910781925197</v>
      </c>
      <c r="H26" s="38">
        <f t="shared" ref="H26:H44" si="4">E26/8330000</f>
        <v>0.301244537815126</v>
      </c>
      <c r="I26" s="192"/>
      <c r="J26" s="193"/>
      <c r="K26" s="193"/>
      <c r="L26" s="39">
        <v>500000</v>
      </c>
      <c r="M26" s="39">
        <v>850000</v>
      </c>
      <c r="N26" s="39">
        <v>750000</v>
      </c>
      <c r="O26" s="150"/>
      <c r="P26" s="150"/>
      <c r="Q26" s="150"/>
    </row>
    <row r="27" spans="1:17" ht="26.85" customHeight="1">
      <c r="A27" s="213"/>
      <c r="B27" s="131" t="s">
        <v>50</v>
      </c>
      <c r="C27" s="41" t="s">
        <v>51</v>
      </c>
      <c r="D27" s="35">
        <v>550000</v>
      </c>
      <c r="E27" s="36">
        <v>875383</v>
      </c>
      <c r="F27" s="29">
        <v>546614</v>
      </c>
      <c r="G27" s="37">
        <f t="shared" si="3"/>
        <v>0.60146465330196397</v>
      </c>
      <c r="H27" s="38">
        <f t="shared" si="4"/>
        <v>0.105087995198079</v>
      </c>
      <c r="I27" s="189" t="s">
        <v>365</v>
      </c>
      <c r="J27" s="190"/>
      <c r="K27" s="190"/>
      <c r="L27" s="39">
        <v>450000</v>
      </c>
      <c r="M27" s="39">
        <v>550000</v>
      </c>
      <c r="N27" s="39">
        <v>500000</v>
      </c>
      <c r="O27" s="150"/>
      <c r="P27" s="150"/>
      <c r="Q27" s="150"/>
    </row>
    <row r="28" spans="1:17" ht="14.25">
      <c r="A28" s="213"/>
      <c r="B28" s="131" t="s">
        <v>53</v>
      </c>
      <c r="C28" s="41" t="s">
        <v>54</v>
      </c>
      <c r="D28" s="35">
        <v>600000</v>
      </c>
      <c r="E28" s="36">
        <v>313986</v>
      </c>
      <c r="F28" s="29">
        <v>315249</v>
      </c>
      <c r="G28" s="37">
        <f t="shared" si="3"/>
        <v>-4.0063568797997799E-3</v>
      </c>
      <c r="H28" s="38">
        <f t="shared" si="4"/>
        <v>3.7693397358943601E-2</v>
      </c>
      <c r="I28" s="192"/>
      <c r="J28" s="193"/>
      <c r="K28" s="193"/>
      <c r="L28" s="39">
        <v>400000</v>
      </c>
      <c r="M28" s="39">
        <v>600000</v>
      </c>
      <c r="N28" s="39">
        <v>550000</v>
      </c>
      <c r="O28" s="150"/>
      <c r="P28" s="150"/>
      <c r="Q28" s="150"/>
    </row>
    <row r="29" spans="1:17" ht="14.25">
      <c r="A29" s="213"/>
      <c r="B29" s="129" t="s">
        <v>55</v>
      </c>
      <c r="C29" s="43" t="s">
        <v>56</v>
      </c>
      <c r="D29" s="35">
        <v>180000</v>
      </c>
      <c r="E29" s="36">
        <v>127567</v>
      </c>
      <c r="F29" s="29" t="s">
        <v>57</v>
      </c>
      <c r="G29" s="29" t="s">
        <v>57</v>
      </c>
      <c r="H29" s="38">
        <f t="shared" si="4"/>
        <v>1.53141656662665E-2</v>
      </c>
      <c r="I29" s="189" t="s">
        <v>366</v>
      </c>
      <c r="J29" s="190"/>
      <c r="K29" s="190"/>
      <c r="L29" s="39">
        <v>100000</v>
      </c>
      <c r="M29" s="39">
        <v>180000</v>
      </c>
      <c r="N29" s="39">
        <v>150000</v>
      </c>
      <c r="O29" s="150"/>
      <c r="P29" s="150"/>
      <c r="Q29" s="150"/>
    </row>
    <row r="30" spans="1:17" ht="14.25">
      <c r="A30" s="213"/>
      <c r="B30" s="130" t="s">
        <v>137</v>
      </c>
      <c r="C30" s="43" t="s">
        <v>138</v>
      </c>
      <c r="D30" s="35">
        <v>60000</v>
      </c>
      <c r="E30" s="36">
        <v>13929</v>
      </c>
      <c r="F30" s="29" t="s">
        <v>57</v>
      </c>
      <c r="G30" s="29" t="s">
        <v>57</v>
      </c>
      <c r="H30" s="38">
        <f t="shared" si="4"/>
        <v>1.6721488595438201E-3</v>
      </c>
      <c r="I30" s="195"/>
      <c r="J30" s="176"/>
      <c r="K30" s="176"/>
      <c r="L30" s="39">
        <v>30000</v>
      </c>
      <c r="M30" s="39">
        <v>60000</v>
      </c>
      <c r="N30" s="39">
        <v>50000</v>
      </c>
      <c r="O30" s="150"/>
      <c r="P30" s="150"/>
      <c r="Q30" s="150"/>
    </row>
    <row r="31" spans="1:17" ht="21.75" customHeight="1">
      <c r="A31" s="168"/>
      <c r="B31" s="129" t="s">
        <v>232</v>
      </c>
      <c r="C31" s="43" t="s">
        <v>233</v>
      </c>
      <c r="D31" s="35">
        <v>300000</v>
      </c>
      <c r="E31" s="36">
        <v>64328</v>
      </c>
      <c r="F31" s="29" t="s">
        <v>57</v>
      </c>
      <c r="G31" s="29" t="s">
        <v>57</v>
      </c>
      <c r="H31" s="38">
        <f t="shared" si="4"/>
        <v>7.7224489795918397E-3</v>
      </c>
      <c r="I31" s="192"/>
      <c r="J31" s="193"/>
      <c r="K31" s="193"/>
      <c r="L31" s="39">
        <v>100000</v>
      </c>
      <c r="M31" s="39">
        <v>300000</v>
      </c>
      <c r="N31" s="39">
        <v>250000</v>
      </c>
      <c r="O31" s="150"/>
      <c r="P31" s="150"/>
      <c r="Q31" s="150"/>
    </row>
    <row r="32" spans="1:17" ht="14.25">
      <c r="A32" s="165" t="s">
        <v>59</v>
      </c>
      <c r="B32" s="129" t="s">
        <v>60</v>
      </c>
      <c r="C32" s="43" t="s">
        <v>61</v>
      </c>
      <c r="D32" s="35">
        <v>100000</v>
      </c>
      <c r="E32" s="36">
        <v>62327</v>
      </c>
      <c r="F32" s="26">
        <v>84446</v>
      </c>
      <c r="G32" s="37">
        <f t="shared" ref="G32:G39" si="5">(E32-F32)/F32</f>
        <v>-0.26193070127655499</v>
      </c>
      <c r="H32" s="38">
        <f t="shared" si="4"/>
        <v>7.4822328931572601E-3</v>
      </c>
      <c r="I32" s="189" t="s">
        <v>367</v>
      </c>
      <c r="J32" s="190"/>
      <c r="K32" s="190"/>
      <c r="L32" s="39">
        <v>70000</v>
      </c>
      <c r="M32" s="39">
        <v>100000</v>
      </c>
      <c r="N32" s="39">
        <v>90000</v>
      </c>
      <c r="O32" s="150" t="s">
        <v>298</v>
      </c>
      <c r="P32" s="150"/>
      <c r="Q32" s="150"/>
    </row>
    <row r="33" spans="1:19" ht="14.25">
      <c r="A33" s="165"/>
      <c r="B33" s="131" t="s">
        <v>63</v>
      </c>
      <c r="C33" s="41" t="s">
        <v>64</v>
      </c>
      <c r="D33" s="35">
        <v>35000</v>
      </c>
      <c r="E33" s="36">
        <v>26176</v>
      </c>
      <c r="F33" s="26">
        <v>25426</v>
      </c>
      <c r="G33" s="37">
        <f t="shared" si="5"/>
        <v>2.9497364902068699E-2</v>
      </c>
      <c r="H33" s="38">
        <f t="shared" si="4"/>
        <v>3.1423769507803101E-3</v>
      </c>
      <c r="I33" s="195"/>
      <c r="J33" s="176"/>
      <c r="K33" s="176"/>
      <c r="L33" s="39">
        <v>15000</v>
      </c>
      <c r="M33" s="39">
        <v>35000</v>
      </c>
      <c r="N33" s="39">
        <v>30000</v>
      </c>
      <c r="O33" s="150"/>
      <c r="P33" s="150"/>
      <c r="Q33" s="150"/>
    </row>
    <row r="34" spans="1:19" ht="14.25">
      <c r="A34" s="165"/>
      <c r="B34" s="131" t="s">
        <v>65</v>
      </c>
      <c r="C34" s="41" t="s">
        <v>66</v>
      </c>
      <c r="D34" s="35">
        <v>60000</v>
      </c>
      <c r="E34" s="36">
        <v>65110</v>
      </c>
      <c r="F34" s="26">
        <v>49237</v>
      </c>
      <c r="G34" s="37">
        <f t="shared" si="5"/>
        <v>0.322379511343096</v>
      </c>
      <c r="H34" s="38">
        <f t="shared" si="4"/>
        <v>7.8163265306122505E-3</v>
      </c>
      <c r="I34" s="195"/>
      <c r="J34" s="176"/>
      <c r="K34" s="176"/>
      <c r="L34" s="39">
        <v>90000</v>
      </c>
      <c r="M34" s="39">
        <v>60000</v>
      </c>
      <c r="N34" s="39">
        <v>50000</v>
      </c>
      <c r="O34" s="150"/>
      <c r="P34" s="150"/>
      <c r="Q34" s="150"/>
    </row>
    <row r="35" spans="1:19" ht="14.25">
      <c r="A35" s="165"/>
      <c r="B35" s="131" t="s">
        <v>67</v>
      </c>
      <c r="C35" s="41" t="s">
        <v>68</v>
      </c>
      <c r="D35" s="35">
        <v>25000</v>
      </c>
      <c r="E35" s="36">
        <v>25151</v>
      </c>
      <c r="F35" s="26">
        <v>14325</v>
      </c>
      <c r="G35" s="37">
        <f t="shared" si="5"/>
        <v>0.75574171029668402</v>
      </c>
      <c r="H35" s="38">
        <f t="shared" si="4"/>
        <v>3.0193277310924401E-3</v>
      </c>
      <c r="I35" s="195"/>
      <c r="J35" s="176"/>
      <c r="K35" s="176"/>
      <c r="L35" s="39">
        <v>15000</v>
      </c>
      <c r="M35" s="39">
        <v>25000</v>
      </c>
      <c r="N35" s="39">
        <v>20000</v>
      </c>
      <c r="O35" s="150"/>
      <c r="P35" s="150"/>
      <c r="Q35" s="150"/>
    </row>
    <row r="36" spans="1:19" ht="14.25">
      <c r="A36" s="165"/>
      <c r="B36" s="129" t="s">
        <v>69</v>
      </c>
      <c r="C36" s="43" t="s">
        <v>70</v>
      </c>
      <c r="D36" s="35">
        <v>100000</v>
      </c>
      <c r="E36" s="36">
        <v>96260</v>
      </c>
      <c r="F36" s="26">
        <v>103758</v>
      </c>
      <c r="G36" s="37">
        <f t="shared" si="5"/>
        <v>-7.2264307330519098E-2</v>
      </c>
      <c r="H36" s="38">
        <f t="shared" si="4"/>
        <v>1.1555822328931599E-2</v>
      </c>
      <c r="I36" s="195"/>
      <c r="J36" s="176"/>
      <c r="K36" s="176"/>
      <c r="L36" s="39">
        <v>75000</v>
      </c>
      <c r="M36" s="39">
        <v>100000</v>
      </c>
      <c r="N36" s="39">
        <v>90000</v>
      </c>
      <c r="O36" s="150"/>
      <c r="P36" s="150"/>
      <c r="Q36" s="150"/>
    </row>
    <row r="37" spans="1:19" ht="14.25">
      <c r="A37" s="165"/>
      <c r="B37" s="131" t="s">
        <v>72</v>
      </c>
      <c r="C37" s="41" t="s">
        <v>73</v>
      </c>
      <c r="D37" s="35">
        <v>50000</v>
      </c>
      <c r="E37" s="36">
        <v>30429</v>
      </c>
      <c r="F37" s="26">
        <v>37121</v>
      </c>
      <c r="G37" s="37">
        <f t="shared" si="5"/>
        <v>-0.18027531585894799</v>
      </c>
      <c r="H37" s="38">
        <f t="shared" si="4"/>
        <v>3.6529411764705901E-3</v>
      </c>
      <c r="I37" s="192"/>
      <c r="J37" s="193"/>
      <c r="K37" s="193"/>
      <c r="L37" s="39">
        <v>30000</v>
      </c>
      <c r="M37" s="39">
        <v>50000</v>
      </c>
      <c r="N37" s="39">
        <v>40000</v>
      </c>
      <c r="O37" s="150"/>
      <c r="P37" s="150"/>
      <c r="Q37" s="150"/>
    </row>
    <row r="38" spans="1:19" ht="21.6" customHeight="1">
      <c r="A38" s="167" t="s">
        <v>74</v>
      </c>
      <c r="B38" s="46">
        <v>100127194542</v>
      </c>
      <c r="C38" s="41" t="s">
        <v>75</v>
      </c>
      <c r="D38" s="35">
        <v>50000</v>
      </c>
      <c r="E38" s="36">
        <v>28405</v>
      </c>
      <c r="F38" s="26">
        <v>28134</v>
      </c>
      <c r="G38" s="37">
        <f t="shared" si="5"/>
        <v>9.6324731641430298E-3</v>
      </c>
      <c r="H38" s="38">
        <f t="shared" si="4"/>
        <v>3.4099639855942401E-3</v>
      </c>
      <c r="I38" s="150" t="s">
        <v>368</v>
      </c>
      <c r="J38" s="161"/>
      <c r="K38" s="161"/>
      <c r="L38" s="39">
        <v>35000</v>
      </c>
      <c r="M38" s="39">
        <v>50000</v>
      </c>
      <c r="N38" s="39">
        <v>40000</v>
      </c>
      <c r="O38" s="150" t="s">
        <v>300</v>
      </c>
      <c r="P38" s="150"/>
      <c r="Q38" s="150"/>
    </row>
    <row r="39" spans="1:19" ht="28.7" customHeight="1">
      <c r="A39" s="169"/>
      <c r="B39" s="48">
        <v>100150693764</v>
      </c>
      <c r="C39" s="49" t="s">
        <v>77</v>
      </c>
      <c r="D39" s="35">
        <v>70000</v>
      </c>
      <c r="E39" s="36">
        <v>72314</v>
      </c>
      <c r="F39" s="26">
        <v>28175</v>
      </c>
      <c r="G39" s="37">
        <f t="shared" si="5"/>
        <v>1.5666015971606</v>
      </c>
      <c r="H39" s="38">
        <f t="shared" si="4"/>
        <v>8.6811524609843906E-3</v>
      </c>
      <c r="I39" s="161"/>
      <c r="J39" s="161"/>
      <c r="K39" s="161"/>
      <c r="L39" s="39">
        <v>40000</v>
      </c>
      <c r="M39" s="39">
        <v>70000</v>
      </c>
      <c r="N39" s="39">
        <v>60000</v>
      </c>
      <c r="O39" s="150"/>
      <c r="P39" s="150"/>
      <c r="Q39" s="150"/>
    </row>
    <row r="40" spans="1:19" ht="30.6" customHeight="1">
      <c r="A40" s="166"/>
      <c r="B40" s="46">
        <v>100325407774</v>
      </c>
      <c r="C40" s="41" t="s">
        <v>301</v>
      </c>
      <c r="D40" s="35">
        <v>40000</v>
      </c>
      <c r="E40" s="36">
        <v>52728</v>
      </c>
      <c r="F40" s="29" t="s">
        <v>57</v>
      </c>
      <c r="G40" s="37" t="s">
        <v>57</v>
      </c>
      <c r="H40" s="38">
        <f t="shared" si="4"/>
        <v>6.3298919567827102E-3</v>
      </c>
      <c r="I40" s="231" t="s">
        <v>369</v>
      </c>
      <c r="J40" s="235"/>
      <c r="K40" s="235"/>
      <c r="L40" s="39">
        <v>15000</v>
      </c>
      <c r="M40" s="39">
        <v>40000</v>
      </c>
      <c r="N40" s="39">
        <v>30000</v>
      </c>
      <c r="O40" s="242" t="s">
        <v>240</v>
      </c>
      <c r="P40" s="242"/>
      <c r="Q40" s="242"/>
    </row>
    <row r="41" spans="1:19" ht="14.25">
      <c r="A41" s="164" t="s">
        <v>78</v>
      </c>
      <c r="B41" s="129" t="s">
        <v>79</v>
      </c>
      <c r="C41" s="43" t="s">
        <v>80</v>
      </c>
      <c r="D41" s="35">
        <v>60000</v>
      </c>
      <c r="E41" s="36">
        <v>23816</v>
      </c>
      <c r="F41" s="36">
        <v>57017</v>
      </c>
      <c r="G41" s="37">
        <f>(E41-F41)/F41</f>
        <v>-0.58230001578476598</v>
      </c>
      <c r="H41" s="38">
        <f t="shared" si="4"/>
        <v>2.8590636254501802E-3</v>
      </c>
      <c r="I41" s="189" t="s">
        <v>146</v>
      </c>
      <c r="J41" s="190"/>
      <c r="K41" s="190"/>
      <c r="L41" s="39">
        <v>30000</v>
      </c>
      <c r="M41" s="39">
        <v>60000</v>
      </c>
      <c r="N41" s="39">
        <v>55000</v>
      </c>
      <c r="O41" s="150" t="s">
        <v>303</v>
      </c>
      <c r="P41" s="150"/>
      <c r="Q41" s="150"/>
    </row>
    <row r="42" spans="1:19" ht="14.25">
      <c r="A42" s="164"/>
      <c r="B42" s="129" t="s">
        <v>82</v>
      </c>
      <c r="C42" s="49" t="s">
        <v>83</v>
      </c>
      <c r="D42" s="35">
        <v>40000</v>
      </c>
      <c r="E42" s="36">
        <v>36276</v>
      </c>
      <c r="F42" s="29" t="s">
        <v>57</v>
      </c>
      <c r="G42" s="37" t="s">
        <v>57</v>
      </c>
      <c r="H42" s="38">
        <f t="shared" si="4"/>
        <v>4.3548619447779102E-3</v>
      </c>
      <c r="I42" s="192"/>
      <c r="J42" s="193"/>
      <c r="K42" s="193"/>
      <c r="L42" s="39">
        <v>20000</v>
      </c>
      <c r="M42" s="39">
        <v>40000</v>
      </c>
      <c r="N42" s="39">
        <v>35000</v>
      </c>
      <c r="O42" s="150"/>
      <c r="P42" s="150"/>
      <c r="Q42" s="150"/>
    </row>
    <row r="43" spans="1:19" ht="14.25">
      <c r="A43" s="164"/>
      <c r="B43" s="48">
        <v>100230489825</v>
      </c>
      <c r="C43" s="43" t="s">
        <v>84</v>
      </c>
      <c r="D43" s="35">
        <v>250000</v>
      </c>
      <c r="E43" s="36">
        <v>91012</v>
      </c>
      <c r="F43" s="29" t="s">
        <v>57</v>
      </c>
      <c r="G43" s="37" t="s">
        <v>57</v>
      </c>
      <c r="H43" s="38">
        <f t="shared" si="4"/>
        <v>1.09258103241297E-2</v>
      </c>
      <c r="I43" s="189" t="s">
        <v>370</v>
      </c>
      <c r="J43" s="190"/>
      <c r="K43" s="190"/>
      <c r="L43" s="39">
        <v>150000</v>
      </c>
      <c r="M43" s="39">
        <v>250000</v>
      </c>
      <c r="N43" s="39">
        <v>200000</v>
      </c>
      <c r="O43" s="150"/>
      <c r="P43" s="150"/>
      <c r="Q43" s="150"/>
    </row>
    <row r="44" spans="1:19" ht="14.25">
      <c r="A44" s="164"/>
      <c r="B44" s="48">
        <v>100307579062</v>
      </c>
      <c r="C44" s="49" t="s">
        <v>85</v>
      </c>
      <c r="D44" s="35">
        <v>70000</v>
      </c>
      <c r="E44" s="36">
        <v>26259</v>
      </c>
      <c r="F44" s="29" t="s">
        <v>57</v>
      </c>
      <c r="G44" s="37" t="s">
        <v>57</v>
      </c>
      <c r="H44" s="38">
        <f t="shared" si="4"/>
        <v>3.1523409363745499E-3</v>
      </c>
      <c r="I44" s="192"/>
      <c r="J44" s="193"/>
      <c r="K44" s="193"/>
      <c r="L44" s="39">
        <v>40000</v>
      </c>
      <c r="M44" s="39">
        <v>70000</v>
      </c>
      <c r="N44" s="39">
        <v>50000</v>
      </c>
      <c r="O44" s="150"/>
      <c r="P44" s="150"/>
      <c r="Q44" s="150"/>
    </row>
    <row r="45" spans="1:19" ht="14.25">
      <c r="A45" s="52"/>
      <c r="B45" s="53"/>
      <c r="C45" s="53"/>
      <c r="D45" s="52"/>
      <c r="E45" s="53"/>
      <c r="F45" s="53"/>
      <c r="G45" s="53"/>
      <c r="H45" s="53"/>
      <c r="I45" s="53"/>
      <c r="J45" s="53"/>
      <c r="K45" s="53"/>
      <c r="L45" s="53"/>
      <c r="M45" s="53"/>
      <c r="N45" s="53"/>
      <c r="O45" s="53"/>
    </row>
    <row r="46" spans="1:19" ht="14.25">
      <c r="A46" s="52"/>
      <c r="B46" s="53"/>
      <c r="C46" s="53"/>
      <c r="D46" s="52"/>
      <c r="E46" s="53"/>
      <c r="F46" s="53"/>
      <c r="G46" s="53"/>
      <c r="H46" s="53"/>
      <c r="I46" s="53"/>
      <c r="J46" s="53"/>
      <c r="K46" s="53"/>
      <c r="L46" s="53"/>
      <c r="M46" s="53"/>
      <c r="N46" s="53"/>
      <c r="O46" s="53"/>
    </row>
    <row r="47" spans="1:19" ht="14.25">
      <c r="A47" s="237" t="s">
        <v>438</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290</v>
      </c>
      <c r="D48" s="54" t="s">
        <v>437</v>
      </c>
      <c r="E48" s="54" t="s">
        <v>129</v>
      </c>
      <c r="F48" s="54" t="s">
        <v>19</v>
      </c>
      <c r="G48" s="54" t="s">
        <v>20</v>
      </c>
      <c r="H48" s="238" t="s">
        <v>21</v>
      </c>
      <c r="I48" s="238"/>
      <c r="J48" s="238"/>
      <c r="K48" s="238"/>
      <c r="L48" s="55" t="s">
        <v>289</v>
      </c>
      <c r="M48" s="55" t="s">
        <v>290</v>
      </c>
      <c r="N48" s="55" t="s">
        <v>291</v>
      </c>
      <c r="O48" s="210" t="s">
        <v>373</v>
      </c>
      <c r="P48" s="210"/>
      <c r="Q48" s="210"/>
      <c r="R48" s="210" t="s">
        <v>374</v>
      </c>
      <c r="S48" s="210"/>
    </row>
    <row r="49" spans="1:19" ht="31.5" customHeight="1">
      <c r="A49" s="164" t="s">
        <v>88</v>
      </c>
      <c r="B49" s="40" t="s">
        <v>89</v>
      </c>
      <c r="C49" s="56">
        <v>4647851.37</v>
      </c>
      <c r="D49" s="57">
        <v>5903646.3700000001</v>
      </c>
      <c r="E49" s="26">
        <v>3534426.68</v>
      </c>
      <c r="F49" s="28">
        <f t="shared" ref="F49:F52" si="6">(D49-E49)/E49</f>
        <v>0.67032645022926296</v>
      </c>
      <c r="G49" s="28">
        <f>D49/8330000</f>
        <v>0.70872105282112896</v>
      </c>
      <c r="H49" s="150" t="s">
        <v>375</v>
      </c>
      <c r="I49" s="150"/>
      <c r="J49" s="150"/>
      <c r="K49" s="150"/>
      <c r="L49" s="29" t="s">
        <v>309</v>
      </c>
      <c r="M49" s="56" t="s">
        <v>310</v>
      </c>
      <c r="N49" s="56" t="s">
        <v>311</v>
      </c>
      <c r="O49" s="231" t="s">
        <v>376</v>
      </c>
      <c r="P49" s="232"/>
      <c r="Q49" s="233"/>
      <c r="R49" s="150" t="s">
        <v>377</v>
      </c>
      <c r="S49" s="161"/>
    </row>
    <row r="50" spans="1:19" ht="28.5" customHeight="1">
      <c r="A50" s="165"/>
      <c r="B50" s="40" t="s">
        <v>91</v>
      </c>
      <c r="C50" s="56">
        <v>2019410.23</v>
      </c>
      <c r="D50" s="57">
        <v>2426142.37</v>
      </c>
      <c r="E50" s="26">
        <v>1623299.35</v>
      </c>
      <c r="F50" s="28">
        <f t="shared" si="6"/>
        <v>0.494574842280322</v>
      </c>
      <c r="G50" s="28">
        <f>D50/8330000</f>
        <v>0.29125358583433397</v>
      </c>
      <c r="H50" s="150"/>
      <c r="I50" s="150"/>
      <c r="J50" s="150"/>
      <c r="K50" s="150"/>
      <c r="L50" s="29" t="s">
        <v>314</v>
      </c>
      <c r="M50" s="56" t="s">
        <v>252</v>
      </c>
      <c r="N50" s="56" t="s">
        <v>247</v>
      </c>
      <c r="O50" s="231" t="s">
        <v>378</v>
      </c>
      <c r="P50" s="232"/>
      <c r="Q50" s="233"/>
      <c r="R50" s="150" t="s">
        <v>379</v>
      </c>
      <c r="S50" s="161"/>
    </row>
    <row r="51" spans="1:19" ht="30.75" customHeight="1">
      <c r="A51" s="164" t="s">
        <v>92</v>
      </c>
      <c r="B51" s="58" t="s">
        <v>93</v>
      </c>
      <c r="C51" s="56" t="s">
        <v>319</v>
      </c>
      <c r="D51" s="57">
        <v>1357461.69</v>
      </c>
      <c r="E51" s="26">
        <v>647494.46</v>
      </c>
      <c r="F51" s="28">
        <f t="shared" si="6"/>
        <v>1.09648386798553</v>
      </c>
      <c r="G51" s="28">
        <f>D51/8330000</f>
        <v>0.162960587034814</v>
      </c>
      <c r="H51" s="150" t="s">
        <v>380</v>
      </c>
      <c r="I51" s="161"/>
      <c r="J51" s="161"/>
      <c r="K51" s="161"/>
      <c r="L51" s="29" t="s">
        <v>318</v>
      </c>
      <c r="M51" s="56" t="s">
        <v>319</v>
      </c>
      <c r="N51" s="56" t="s">
        <v>320</v>
      </c>
      <c r="O51" s="231" t="s">
        <v>381</v>
      </c>
      <c r="P51" s="232"/>
      <c r="Q51" s="233"/>
      <c r="R51" s="150" t="s">
        <v>322</v>
      </c>
      <c r="S51" s="161"/>
    </row>
    <row r="52" spans="1:19" ht="30.75" customHeight="1">
      <c r="A52" s="165"/>
      <c r="B52" s="40" t="s">
        <v>95</v>
      </c>
      <c r="C52" s="56" t="s">
        <v>324</v>
      </c>
      <c r="D52" s="57">
        <v>5081813</v>
      </c>
      <c r="E52" s="26">
        <v>1827998</v>
      </c>
      <c r="F52" s="28">
        <f t="shared" si="6"/>
        <v>1.7799882713219599</v>
      </c>
      <c r="G52" s="28">
        <f>D52/8330000</f>
        <v>0.61006158463385396</v>
      </c>
      <c r="H52" s="150" t="s">
        <v>382</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9"/>
      <c r="B54" s="53"/>
      <c r="C54" s="53"/>
      <c r="D54" s="53"/>
      <c r="E54" s="53"/>
      <c r="F54" s="53"/>
      <c r="G54" s="53"/>
      <c r="H54" s="53"/>
      <c r="I54" s="53"/>
      <c r="J54" s="53"/>
      <c r="K54" s="53"/>
      <c r="L54" s="53"/>
      <c r="M54" s="53"/>
      <c r="N54" s="53"/>
      <c r="O54" s="53"/>
    </row>
    <row r="55" spans="1:19" ht="21" customHeight="1">
      <c r="A55" s="55" t="s">
        <v>439</v>
      </c>
      <c r="B55" s="55" t="s">
        <v>98</v>
      </c>
      <c r="C55" s="55" t="s">
        <v>99</v>
      </c>
      <c r="D55" s="55" t="s">
        <v>100</v>
      </c>
      <c r="E55" s="265" t="s">
        <v>101</v>
      </c>
      <c r="F55" s="266"/>
      <c r="G55" s="210" t="s">
        <v>102</v>
      </c>
      <c r="H55" s="210"/>
      <c r="I55" s="210" t="s">
        <v>21</v>
      </c>
      <c r="J55" s="265"/>
      <c r="K55" s="210" t="s">
        <v>384</v>
      </c>
      <c r="L55" s="210"/>
      <c r="M55" s="210"/>
      <c r="N55" s="59"/>
    </row>
    <row r="56" spans="1:19" ht="29.25" customHeight="1">
      <c r="A56" s="25" t="s">
        <v>89</v>
      </c>
      <c r="B56" s="26">
        <v>17325</v>
      </c>
      <c r="C56" s="26">
        <v>1943239</v>
      </c>
      <c r="D56" s="60">
        <v>112.16</v>
      </c>
      <c r="E56" s="269" t="s">
        <v>385</v>
      </c>
      <c r="F56" s="270"/>
      <c r="G56" s="150" t="s">
        <v>386</v>
      </c>
      <c r="H56" s="150"/>
      <c r="I56" s="189" t="s">
        <v>440</v>
      </c>
      <c r="J56" s="190"/>
      <c r="K56" s="150" t="s">
        <v>388</v>
      </c>
      <c r="L56" s="150"/>
      <c r="M56" s="150"/>
      <c r="N56" s="44"/>
    </row>
    <row r="57" spans="1:19" ht="21.75" customHeight="1">
      <c r="A57" s="25" t="s">
        <v>19</v>
      </c>
      <c r="B57" s="28">
        <v>0.45939999999999998</v>
      </c>
      <c r="C57" s="28">
        <v>1.4088000000000001</v>
      </c>
      <c r="D57" s="28">
        <v>0.65049999999999997</v>
      </c>
      <c r="E57" s="270"/>
      <c r="F57" s="270"/>
      <c r="G57" s="150"/>
      <c r="H57" s="150"/>
      <c r="I57" s="195"/>
      <c r="J57" s="176"/>
      <c r="K57" s="150"/>
      <c r="L57" s="150"/>
      <c r="M57" s="150"/>
      <c r="N57" s="44"/>
    </row>
    <row r="58" spans="1:19" ht="27" customHeight="1">
      <c r="A58" s="25" t="s">
        <v>91</v>
      </c>
      <c r="B58" s="26">
        <v>8630</v>
      </c>
      <c r="C58" s="26">
        <v>1012331</v>
      </c>
      <c r="D58" s="60">
        <v>117.3</v>
      </c>
      <c r="E58" s="271" t="s">
        <v>389</v>
      </c>
      <c r="F58" s="272"/>
      <c r="G58" s="150" t="s">
        <v>390</v>
      </c>
      <c r="H58" s="150"/>
      <c r="I58" s="195"/>
      <c r="J58" s="176"/>
      <c r="K58" s="150"/>
      <c r="L58" s="150"/>
      <c r="M58" s="150"/>
      <c r="N58" s="44"/>
    </row>
    <row r="59" spans="1:19" ht="25.5" customHeight="1">
      <c r="A59" s="25" t="s">
        <v>19</v>
      </c>
      <c r="B59" s="28">
        <v>0.63570000000000004</v>
      </c>
      <c r="C59" s="28">
        <v>0.88900000000000001</v>
      </c>
      <c r="D59" s="28">
        <v>0.15479999999999999</v>
      </c>
      <c r="E59" s="272"/>
      <c r="F59" s="272"/>
      <c r="G59" s="150"/>
      <c r="H59" s="150"/>
      <c r="I59" s="192"/>
      <c r="J59" s="193"/>
      <c r="K59" s="150"/>
      <c r="L59" s="150"/>
      <c r="M59" s="150"/>
      <c r="N59" s="44"/>
    </row>
    <row r="60" spans="1:19" ht="29.25" customHeight="1">
      <c r="A60" s="25" t="s">
        <v>97</v>
      </c>
      <c r="B60" s="26">
        <f>B56+B58</f>
        <v>25955</v>
      </c>
      <c r="C60" s="26">
        <f>C56+C58</f>
        <v>2955570</v>
      </c>
      <c r="D60" s="60">
        <v>113.87</v>
      </c>
      <c r="E60" s="273" t="s">
        <v>391</v>
      </c>
      <c r="F60" s="273"/>
      <c r="G60" s="273"/>
      <c r="H60" s="273"/>
      <c r="I60" s="273"/>
      <c r="J60" s="274"/>
      <c r="K60" s="150"/>
      <c r="L60" s="150"/>
      <c r="M60" s="150"/>
      <c r="N60" s="44"/>
    </row>
    <row r="61" spans="1:19" ht="27.75" customHeight="1">
      <c r="A61" s="42" t="s">
        <v>19</v>
      </c>
      <c r="B61" s="28">
        <v>0.51370000000000005</v>
      </c>
      <c r="C61" s="28">
        <v>1.2013</v>
      </c>
      <c r="D61" s="28">
        <v>0.45429999999999998</v>
      </c>
      <c r="E61" s="273"/>
      <c r="F61" s="273"/>
      <c r="G61" s="273"/>
      <c r="H61" s="273"/>
      <c r="I61" s="273"/>
      <c r="J61" s="274"/>
      <c r="K61" s="150"/>
      <c r="L61" s="150"/>
      <c r="M61" s="150"/>
      <c r="N61" s="44"/>
    </row>
    <row r="64" spans="1:19" ht="15">
      <c r="A64" s="165" t="s">
        <v>109</v>
      </c>
      <c r="B64" s="62" t="s">
        <v>110</v>
      </c>
      <c r="C64" s="62" t="s">
        <v>111</v>
      </c>
      <c r="D64" s="62" t="s">
        <v>112</v>
      </c>
      <c r="E64" s="62" t="s">
        <v>113</v>
      </c>
      <c r="F64" s="62" t="s">
        <v>262</v>
      </c>
      <c r="G64" s="62" t="s">
        <v>263</v>
      </c>
      <c r="I64" s="63" t="s">
        <v>42</v>
      </c>
      <c r="J64" s="63" t="s">
        <v>392</v>
      </c>
      <c r="K64" s="63" t="s">
        <v>393</v>
      </c>
      <c r="L64" s="63" t="s">
        <v>394</v>
      </c>
      <c r="M64" s="63" t="s">
        <v>395</v>
      </c>
      <c r="N64" s="63" t="s">
        <v>396</v>
      </c>
      <c r="O64" s="63" t="s">
        <v>397</v>
      </c>
      <c r="P64" s="63" t="s">
        <v>398</v>
      </c>
    </row>
    <row r="65" spans="1:16" ht="14.25">
      <c r="A65" s="165"/>
      <c r="B65" s="25" t="s">
        <v>441</v>
      </c>
      <c r="C65" s="72">
        <v>17076</v>
      </c>
      <c r="D65" s="72">
        <v>17365</v>
      </c>
      <c r="E65" s="72">
        <v>193686</v>
      </c>
      <c r="F65" s="212">
        <v>105</v>
      </c>
      <c r="G65" s="275">
        <v>6362</v>
      </c>
      <c r="I65" s="65" t="s">
        <v>400</v>
      </c>
      <c r="J65" s="50" t="s">
        <v>401</v>
      </c>
      <c r="K65" s="25">
        <v>7.9</v>
      </c>
      <c r="L65" s="25">
        <v>1</v>
      </c>
      <c r="M65" s="25">
        <v>9000</v>
      </c>
      <c r="N65" s="25">
        <v>9000</v>
      </c>
      <c r="O65" s="25" t="s">
        <v>402</v>
      </c>
      <c r="P65" s="239" t="s">
        <v>403</v>
      </c>
    </row>
    <row r="66" spans="1:16" ht="14.25">
      <c r="A66" s="165"/>
      <c r="B66" s="42" t="s">
        <v>117</v>
      </c>
      <c r="C66" s="72">
        <v>1851</v>
      </c>
      <c r="D66" s="72">
        <v>3162</v>
      </c>
      <c r="E66" s="72">
        <v>64100</v>
      </c>
      <c r="F66" s="213"/>
      <c r="G66" s="213"/>
      <c r="I66" s="65" t="s">
        <v>404</v>
      </c>
      <c r="J66" s="50" t="s">
        <v>405</v>
      </c>
      <c r="K66" s="25">
        <v>14.9</v>
      </c>
      <c r="L66" s="25">
        <v>1</v>
      </c>
      <c r="M66" s="25">
        <v>500</v>
      </c>
      <c r="N66" s="25">
        <v>500</v>
      </c>
      <c r="O66" s="25" t="s">
        <v>402</v>
      </c>
      <c r="P66" s="240"/>
    </row>
    <row r="67" spans="1:16" ht="14.25">
      <c r="A67" s="165"/>
      <c r="B67" s="42" t="s">
        <v>118</v>
      </c>
      <c r="C67" s="72">
        <v>2875</v>
      </c>
      <c r="D67" s="72">
        <v>3163</v>
      </c>
      <c r="E67" s="73">
        <v>100023.64</v>
      </c>
      <c r="F67" s="168"/>
      <c r="G67" s="168"/>
      <c r="I67" s="65" t="s">
        <v>406</v>
      </c>
      <c r="J67" s="50" t="s">
        <v>407</v>
      </c>
      <c r="K67" s="25">
        <v>14.9</v>
      </c>
      <c r="L67" s="25">
        <v>1</v>
      </c>
      <c r="M67" s="25">
        <v>500</v>
      </c>
      <c r="N67" s="25">
        <v>500</v>
      </c>
      <c r="O67" s="25" t="s">
        <v>402</v>
      </c>
      <c r="P67" s="240"/>
    </row>
    <row r="68" spans="1:16" ht="36.75" customHeight="1">
      <c r="A68" s="187" t="s">
        <v>442</v>
      </c>
      <c r="B68" s="188"/>
      <c r="C68" s="188"/>
      <c r="D68" s="188"/>
      <c r="E68" s="188"/>
      <c r="F68" s="188"/>
      <c r="G68" s="188"/>
      <c r="I68" s="65" t="s">
        <v>409</v>
      </c>
      <c r="J68" s="50" t="s">
        <v>410</v>
      </c>
      <c r="K68" s="25">
        <v>9.9</v>
      </c>
      <c r="L68" s="25">
        <v>2.9</v>
      </c>
      <c r="M68" s="25">
        <v>2000</v>
      </c>
      <c r="N68" s="25">
        <v>5800</v>
      </c>
      <c r="O68" s="25" t="s">
        <v>402</v>
      </c>
      <c r="P68" s="240"/>
    </row>
    <row r="69" spans="1:16" ht="14.25">
      <c r="I69" s="65" t="s">
        <v>273</v>
      </c>
      <c r="J69" s="50" t="s">
        <v>411</v>
      </c>
      <c r="K69" s="25">
        <v>9.9</v>
      </c>
      <c r="L69" s="25">
        <v>2.9</v>
      </c>
      <c r="M69" s="25">
        <v>2500</v>
      </c>
      <c r="N69" s="25">
        <v>7250</v>
      </c>
      <c r="O69" s="25" t="s">
        <v>402</v>
      </c>
      <c r="P69" s="240"/>
    </row>
    <row r="70" spans="1:16" ht="14.25">
      <c r="I70" s="65" t="s">
        <v>412</v>
      </c>
      <c r="J70" s="50" t="s">
        <v>413</v>
      </c>
      <c r="K70" s="25">
        <v>25.9</v>
      </c>
      <c r="L70" s="25">
        <v>9.9</v>
      </c>
      <c r="M70" s="25">
        <v>4000</v>
      </c>
      <c r="N70" s="25">
        <v>39600</v>
      </c>
      <c r="O70" s="25" t="s">
        <v>402</v>
      </c>
      <c r="P70" s="240"/>
    </row>
    <row r="71" spans="1:16" ht="14.25">
      <c r="A71" s="32" t="s">
        <v>42</v>
      </c>
      <c r="B71" s="32" t="s">
        <v>43</v>
      </c>
      <c r="C71" s="32" t="s">
        <v>266</v>
      </c>
      <c r="D71" s="32" t="s">
        <v>267</v>
      </c>
      <c r="E71" s="32" t="s">
        <v>268</v>
      </c>
      <c r="I71" s="65" t="s">
        <v>414</v>
      </c>
      <c r="J71" s="50" t="s">
        <v>415</v>
      </c>
      <c r="K71" s="25">
        <v>6.9</v>
      </c>
      <c r="L71" s="25">
        <v>4.9000000000000004</v>
      </c>
      <c r="M71" s="25">
        <v>1500</v>
      </c>
      <c r="N71" s="25">
        <v>7350</v>
      </c>
      <c r="O71" s="25" t="s">
        <v>402</v>
      </c>
      <c r="P71" s="240"/>
    </row>
    <row r="72" spans="1:16" ht="14.25">
      <c r="A72" s="133" t="s">
        <v>269</v>
      </c>
      <c r="B72" s="25" t="s">
        <v>270</v>
      </c>
      <c r="C72" s="42">
        <v>17.899999999999999</v>
      </c>
      <c r="D72" s="42">
        <v>4174</v>
      </c>
      <c r="E72" s="26">
        <f t="shared" ref="E72:E74" si="7">C72*D72</f>
        <v>74714.600000000006</v>
      </c>
      <c r="I72" s="130" t="s">
        <v>269</v>
      </c>
      <c r="J72" s="50" t="s">
        <v>347</v>
      </c>
      <c r="K72" s="42">
        <v>29</v>
      </c>
      <c r="L72" s="42">
        <v>17.899999999999999</v>
      </c>
      <c r="M72" s="42">
        <v>5000</v>
      </c>
      <c r="N72" s="42">
        <f t="shared" ref="N72:N77" si="8">M72*L72</f>
        <v>89500</v>
      </c>
      <c r="O72" s="25" t="s">
        <v>416</v>
      </c>
      <c r="P72" s="240"/>
    </row>
    <row r="73" spans="1:16" ht="14.25">
      <c r="A73" s="133" t="s">
        <v>271</v>
      </c>
      <c r="B73" s="25" t="s">
        <v>417</v>
      </c>
      <c r="C73" s="42">
        <v>19.899999999999999</v>
      </c>
      <c r="D73" s="42">
        <v>693</v>
      </c>
      <c r="E73" s="26">
        <f t="shared" si="7"/>
        <v>13790.7</v>
      </c>
      <c r="I73" s="130" t="s">
        <v>271</v>
      </c>
      <c r="J73" s="50" t="s">
        <v>417</v>
      </c>
      <c r="K73" s="42">
        <v>39</v>
      </c>
      <c r="L73" s="42">
        <v>19.899999999999999</v>
      </c>
      <c r="M73" s="42">
        <v>3000</v>
      </c>
      <c r="N73" s="42">
        <f t="shared" si="8"/>
        <v>59700</v>
      </c>
      <c r="O73" s="25" t="s">
        <v>416</v>
      </c>
      <c r="P73" s="240"/>
    </row>
    <row r="74" spans="1:16" ht="14.25">
      <c r="A74" s="133" t="s">
        <v>412</v>
      </c>
      <c r="B74" s="25" t="s">
        <v>418</v>
      </c>
      <c r="C74" s="42">
        <v>19.899999999999999</v>
      </c>
      <c r="D74" s="42">
        <v>426</v>
      </c>
      <c r="E74" s="26">
        <f t="shared" si="7"/>
        <v>8477.4</v>
      </c>
      <c r="I74" s="130" t="s">
        <v>419</v>
      </c>
      <c r="J74" s="50" t="s">
        <v>420</v>
      </c>
      <c r="K74" s="42">
        <v>49</v>
      </c>
      <c r="L74" s="42">
        <v>29.9</v>
      </c>
      <c r="M74" s="42">
        <v>1000</v>
      </c>
      <c r="N74" s="42">
        <f t="shared" si="8"/>
        <v>29900</v>
      </c>
      <c r="O74" s="25" t="s">
        <v>416</v>
      </c>
      <c r="P74" s="240"/>
    </row>
    <row r="75" spans="1:16" ht="14.25">
      <c r="I75" s="130" t="s">
        <v>275</v>
      </c>
      <c r="J75" s="50" t="s">
        <v>421</v>
      </c>
      <c r="K75" s="42">
        <v>29.9</v>
      </c>
      <c r="L75" s="25">
        <v>19.899999999999999</v>
      </c>
      <c r="M75" s="25">
        <v>800</v>
      </c>
      <c r="N75" s="42">
        <f t="shared" si="8"/>
        <v>15920</v>
      </c>
      <c r="O75" s="25" t="s">
        <v>416</v>
      </c>
      <c r="P75" s="240"/>
    </row>
    <row r="76" spans="1:16" ht="14.25">
      <c r="I76" s="130" t="s">
        <v>422</v>
      </c>
      <c r="J76" s="50" t="s">
        <v>423</v>
      </c>
      <c r="K76" s="42">
        <v>39.9</v>
      </c>
      <c r="L76" s="25">
        <v>25</v>
      </c>
      <c r="M76" s="25">
        <v>1000</v>
      </c>
      <c r="N76" s="42">
        <f t="shared" si="8"/>
        <v>25000</v>
      </c>
      <c r="O76" s="25" t="s">
        <v>416</v>
      </c>
      <c r="P76" s="240"/>
    </row>
    <row r="77" spans="1:16" ht="14.25">
      <c r="A77" s="267" t="s">
        <v>110</v>
      </c>
      <c r="B77" s="267" t="s">
        <v>424</v>
      </c>
      <c r="C77" s="267"/>
      <c r="D77" s="267"/>
      <c r="E77" s="74"/>
      <c r="I77" s="134" t="s">
        <v>425</v>
      </c>
      <c r="J77" s="66" t="s">
        <v>426</v>
      </c>
      <c r="K77" s="33">
        <v>49.9</v>
      </c>
      <c r="L77" s="45">
        <v>29.9</v>
      </c>
      <c r="M77" s="45">
        <v>1000</v>
      </c>
      <c r="N77" s="33">
        <f t="shared" si="8"/>
        <v>29900</v>
      </c>
      <c r="O77" s="25" t="s">
        <v>416</v>
      </c>
      <c r="P77" s="240"/>
    </row>
    <row r="78" spans="1:16" ht="14.25">
      <c r="A78" s="267"/>
      <c r="B78" s="58" t="s">
        <v>427</v>
      </c>
      <c r="C78" s="58" t="s">
        <v>428</v>
      </c>
      <c r="D78" s="58" t="s">
        <v>429</v>
      </c>
      <c r="E78" s="74"/>
      <c r="I78" s="268" t="s">
        <v>430</v>
      </c>
      <c r="J78" s="268"/>
      <c r="K78" s="268"/>
      <c r="L78" s="268"/>
      <c r="M78" s="268"/>
      <c r="N78" s="268"/>
      <c r="O78" s="268"/>
      <c r="P78" s="268"/>
    </row>
    <row r="79" spans="1:16" ht="14.25">
      <c r="A79" s="70">
        <v>46116</v>
      </c>
      <c r="B79" s="42">
        <v>4033</v>
      </c>
      <c r="C79" s="42">
        <v>1372.85</v>
      </c>
      <c r="D79" s="42">
        <v>2234</v>
      </c>
      <c r="E79" s="22" t="s">
        <v>431</v>
      </c>
    </row>
    <row r="80" spans="1:16" ht="14.25">
      <c r="A80" s="70">
        <v>46124</v>
      </c>
      <c r="B80" s="42">
        <v>40490</v>
      </c>
      <c r="C80" s="42">
        <v>5092.3999999999996</v>
      </c>
      <c r="D80" s="42">
        <v>19856</v>
      </c>
      <c r="E80" s="22" t="s">
        <v>432</v>
      </c>
    </row>
    <row r="81" spans="1:5" ht="14.25">
      <c r="A81" s="70">
        <v>46169</v>
      </c>
      <c r="B81" s="42">
        <v>8565</v>
      </c>
      <c r="C81" s="42">
        <v>2262.4</v>
      </c>
      <c r="D81" s="42">
        <v>4753</v>
      </c>
      <c r="E81" s="22" t="s">
        <v>432</v>
      </c>
    </row>
  </sheetData>
  <sheetProtection formatCells="0" formatColumns="0" formatRows="0" insertColumns="0" insertRows="0" insertHyperlinks="0" deleteColumns="0" deleteRows="0" sort="0" autoFilter="0" pivotTables="0"/>
  <mergeCells count="70">
    <mergeCell ref="E56:F57"/>
    <mergeCell ref="G56:H57"/>
    <mergeCell ref="I56:J59"/>
    <mergeCell ref="K56:M61"/>
    <mergeCell ref="E58:F59"/>
    <mergeCell ref="G58:H59"/>
    <mergeCell ref="E60:J61"/>
    <mergeCell ref="P65:P77"/>
    <mergeCell ref="G12:J13"/>
    <mergeCell ref="G16:J17"/>
    <mergeCell ref="I25:K26"/>
    <mergeCell ref="O25:Q31"/>
    <mergeCell ref="I27:K28"/>
    <mergeCell ref="I29:K31"/>
    <mergeCell ref="I32:K37"/>
    <mergeCell ref="O32:Q37"/>
    <mergeCell ref="I38:K39"/>
    <mergeCell ref="O38:Q39"/>
    <mergeCell ref="I41:K42"/>
    <mergeCell ref="O41:Q44"/>
    <mergeCell ref="I43:K44"/>
    <mergeCell ref="H49:K50"/>
    <mergeCell ref="A68:G68"/>
    <mergeCell ref="B77:D77"/>
    <mergeCell ref="I78:P78"/>
    <mergeCell ref="A12:A13"/>
    <mergeCell ref="A14:A15"/>
    <mergeCell ref="A16:A18"/>
    <mergeCell ref="A25:A31"/>
    <mergeCell ref="A32:A37"/>
    <mergeCell ref="A38:A40"/>
    <mergeCell ref="A41:A44"/>
    <mergeCell ref="A49:A50"/>
    <mergeCell ref="A51:A52"/>
    <mergeCell ref="A64:A67"/>
    <mergeCell ref="A77:A78"/>
    <mergeCell ref="F65:F67"/>
    <mergeCell ref="G65:G67"/>
    <mergeCell ref="H52:K52"/>
    <mergeCell ref="O52:Q52"/>
    <mergeCell ref="R52:S52"/>
    <mergeCell ref="E55:F55"/>
    <mergeCell ref="G55:H55"/>
    <mergeCell ref="I55:J55"/>
    <mergeCell ref="K55:M55"/>
    <mergeCell ref="O49:Q49"/>
    <mergeCell ref="R49:S49"/>
    <mergeCell ref="O50:Q50"/>
    <mergeCell ref="R50:S50"/>
    <mergeCell ref="H51:K51"/>
    <mergeCell ref="O51:Q51"/>
    <mergeCell ref="R51:S51"/>
    <mergeCell ref="I40:K40"/>
    <mergeCell ref="O40:Q40"/>
    <mergeCell ref="A47:S47"/>
    <mergeCell ref="A48:B48"/>
    <mergeCell ref="H48:K48"/>
    <mergeCell ref="O48:Q48"/>
    <mergeCell ref="R48:S48"/>
    <mergeCell ref="G15:J15"/>
    <mergeCell ref="G18:J18"/>
    <mergeCell ref="A23:Q23"/>
    <mergeCell ref="I24:K24"/>
    <mergeCell ref="O24:Q24"/>
    <mergeCell ref="A1:G1"/>
    <mergeCell ref="A10:J10"/>
    <mergeCell ref="A11:B11"/>
    <mergeCell ref="G11:J11"/>
    <mergeCell ref="G14:J14"/>
    <mergeCell ref="E6:G7"/>
  </mergeCells>
  <phoneticPr fontId="15" type="noConversion"/>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R76"/>
  <sheetViews>
    <sheetView topLeftCell="H59" workbookViewId="0">
      <selection activeCell="H56" sqref="H56:J59"/>
    </sheetView>
  </sheetViews>
  <sheetFormatPr defaultColWidth="9" defaultRowHeight="13.5"/>
  <cols>
    <col min="1" max="1" width="11.125" customWidth="1"/>
    <col min="2" max="2" width="13.625" customWidth="1"/>
    <col min="3" max="3" width="25.125" customWidth="1"/>
    <col min="4" max="4" width="11.125" customWidth="1"/>
    <col min="5" max="5" width="13.625" customWidth="1"/>
    <col min="6" max="6" width="17.375" customWidth="1"/>
    <col min="7" max="7" width="19.25" customWidth="1"/>
    <col min="8" max="8" width="15.375" customWidth="1"/>
    <col min="9" max="9" width="15.5" customWidth="1"/>
    <col min="10" max="10" width="13.25" customWidth="1"/>
    <col min="11" max="11" width="11.25" customWidth="1"/>
    <col min="16" max="16" width="15" customWidth="1"/>
    <col min="18" max="18" width="37.5" customWidth="1"/>
  </cols>
  <sheetData>
    <row r="1" spans="1:10" ht="14.25">
      <c r="A1" s="136" t="s">
        <v>443</v>
      </c>
      <c r="B1" s="137"/>
      <c r="C1" s="137"/>
      <c r="D1" s="137"/>
      <c r="E1" s="137"/>
      <c r="F1" s="137"/>
      <c r="G1" s="137"/>
    </row>
    <row r="2" spans="1:10" ht="14.25">
      <c r="A2" s="4" t="s">
        <v>1</v>
      </c>
      <c r="B2" s="4" t="s">
        <v>2</v>
      </c>
      <c r="C2" s="4" t="s">
        <v>3</v>
      </c>
      <c r="D2" s="4" t="s">
        <v>4</v>
      </c>
      <c r="E2" s="4" t="s">
        <v>5</v>
      </c>
      <c r="F2" s="4" t="s">
        <v>6</v>
      </c>
      <c r="G2" s="4" t="s">
        <v>7</v>
      </c>
    </row>
    <row r="3" spans="1:10" ht="14.25">
      <c r="A3" s="5" t="s">
        <v>9</v>
      </c>
      <c r="B3" s="5">
        <v>1968</v>
      </c>
      <c r="C3" s="5">
        <v>1510</v>
      </c>
      <c r="D3" s="7">
        <f>(C3-B3)/B3</f>
        <v>-0.232723577235772</v>
      </c>
      <c r="E3" s="7">
        <f>B3/(B3+B4+B5)</f>
        <v>0.53628508130114505</v>
      </c>
      <c r="F3" s="7">
        <f>C3/(C3+C4+C5)</f>
        <v>0.37573685480880997</v>
      </c>
      <c r="G3" s="7">
        <f>F3-E3</f>
        <v>-0.16054822649233499</v>
      </c>
    </row>
    <row r="4" spans="1:10" ht="14.25">
      <c r="A4" s="8" t="s">
        <v>11</v>
      </c>
      <c r="B4" s="5">
        <v>1400</v>
      </c>
      <c r="C4" s="5">
        <v>2249</v>
      </c>
      <c r="D4" s="7">
        <f>(C4-B4)/B4</f>
        <v>0.60642857142857098</v>
      </c>
      <c r="E4" s="7">
        <f>B4/(B4+B5+B3)</f>
        <v>0.38150361474674999</v>
      </c>
      <c r="F4" s="7">
        <f>C4/(C3+C4+C5)</f>
        <v>0.55962396454636598</v>
      </c>
      <c r="G4" s="7">
        <f>F4-E4</f>
        <v>0.178120349799616</v>
      </c>
    </row>
    <row r="5" spans="1:10" ht="14.25">
      <c r="A5" s="8" t="s">
        <v>12</v>
      </c>
      <c r="B5" s="12">
        <v>301.69</v>
      </c>
      <c r="C5" s="12">
        <v>259.77</v>
      </c>
      <c r="D5" s="7">
        <f>(C5-B5)/B5</f>
        <v>-0.1389505784083</v>
      </c>
      <c r="E5" s="13">
        <f>B5/(B5+B4+B3)</f>
        <v>8.2211303952104894E-2</v>
      </c>
      <c r="F5" s="13">
        <f>C5/(C3+C4+C5)</f>
        <v>6.4639180644824198E-2</v>
      </c>
      <c r="G5" s="13">
        <f>F5-E5</f>
        <v>-1.7572123307280699E-2</v>
      </c>
    </row>
    <row r="6" spans="1:10" ht="14.25">
      <c r="A6" s="8" t="s">
        <v>13</v>
      </c>
      <c r="B6" s="14">
        <v>149.9</v>
      </c>
      <c r="C6" s="14">
        <v>179.7</v>
      </c>
      <c r="D6" s="15">
        <f>(C6-B6)/B6</f>
        <v>0.198799199466311</v>
      </c>
      <c r="E6" s="249" t="s">
        <v>444</v>
      </c>
      <c r="F6" s="250"/>
      <c r="G6" s="250"/>
    </row>
    <row r="7" spans="1:10" ht="14.25">
      <c r="A7" s="19" t="s">
        <v>14</v>
      </c>
      <c r="B7" s="83">
        <v>139.4</v>
      </c>
      <c r="C7" s="84">
        <v>171.4</v>
      </c>
      <c r="D7" s="85">
        <f>(C7-B7)/B7</f>
        <v>0.22955523672883801</v>
      </c>
      <c r="E7" s="250"/>
      <c r="F7" s="250"/>
      <c r="G7" s="250"/>
    </row>
    <row r="10" spans="1:10" ht="14.25">
      <c r="A10" s="141" t="s">
        <v>445</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766297</v>
      </c>
      <c r="D12" s="26">
        <v>384557</v>
      </c>
      <c r="E12" s="27">
        <f>(C12-D12)/D12</f>
        <v>0.99267468801764103</v>
      </c>
      <c r="F12" s="28">
        <v>0.40480142622051601</v>
      </c>
      <c r="G12" s="228" t="s">
        <v>446</v>
      </c>
      <c r="H12" s="254"/>
      <c r="I12" s="254"/>
      <c r="J12" s="255"/>
    </row>
    <row r="13" spans="1:10" ht="14.25">
      <c r="A13" s="164"/>
      <c r="B13" s="25" t="s">
        <v>25</v>
      </c>
      <c r="C13" s="26">
        <v>61138</v>
      </c>
      <c r="D13" s="26">
        <v>34826</v>
      </c>
      <c r="E13" s="27">
        <f>(C13-D13)/D13</f>
        <v>0.75552747946936205</v>
      </c>
      <c r="F13" s="28">
        <v>2.15364783324191E-2</v>
      </c>
      <c r="G13" s="256"/>
      <c r="H13" s="257"/>
      <c r="I13" s="257"/>
      <c r="J13" s="258"/>
    </row>
    <row r="14" spans="1:10" ht="45.95" customHeight="1">
      <c r="A14" s="164" t="s">
        <v>26</v>
      </c>
      <c r="B14" s="25" t="s">
        <v>27</v>
      </c>
      <c r="C14" s="26">
        <v>809749.44</v>
      </c>
      <c r="D14" s="26">
        <v>489410.64</v>
      </c>
      <c r="E14" s="27">
        <f>(C14-D14)/D14</f>
        <v>0.65453991764461805</v>
      </c>
      <c r="F14" s="28">
        <v>0.39243300054854602</v>
      </c>
      <c r="G14" s="146" t="s">
        <v>447</v>
      </c>
      <c r="H14" s="147"/>
      <c r="I14" s="147"/>
      <c r="J14" s="147"/>
    </row>
    <row r="15" spans="1:10" ht="27.95" customHeight="1">
      <c r="A15" s="164"/>
      <c r="B15" s="25" t="s">
        <v>29</v>
      </c>
      <c r="C15" s="26">
        <v>124252.03</v>
      </c>
      <c r="D15" s="26">
        <v>171704.04</v>
      </c>
      <c r="E15" s="27">
        <f>(C15-D15)/D15</f>
        <v>-0.27635930989160201</v>
      </c>
      <c r="F15" s="28">
        <v>8.1198162369720203E-2</v>
      </c>
      <c r="G15" s="146" t="s">
        <v>448</v>
      </c>
      <c r="H15" s="147"/>
      <c r="I15" s="147"/>
      <c r="J15" s="147"/>
    </row>
    <row r="16" spans="1:10" ht="14.25">
      <c r="A16" s="164" t="s">
        <v>31</v>
      </c>
      <c r="B16" s="25" t="s">
        <v>34</v>
      </c>
      <c r="C16" s="26">
        <v>117877.58</v>
      </c>
      <c r="D16" s="26">
        <v>0</v>
      </c>
      <c r="E16" s="27"/>
      <c r="F16" s="28">
        <v>6.8247235326385103E-2</v>
      </c>
      <c r="G16" s="195" t="s">
        <v>449</v>
      </c>
      <c r="H16" s="176"/>
      <c r="I16" s="176"/>
      <c r="J16" s="177"/>
    </row>
    <row r="17" spans="1:18" ht="14.25">
      <c r="A17" s="164"/>
      <c r="B17" s="25" t="s">
        <v>36</v>
      </c>
      <c r="C17" s="26">
        <v>39283</v>
      </c>
      <c r="D17" s="26">
        <v>17849</v>
      </c>
      <c r="E17" s="27">
        <f>(C17-D17)/D17</f>
        <v>1.2008515883242801</v>
      </c>
      <c r="F17" s="28">
        <v>4.0258913878222703E-2</v>
      </c>
      <c r="G17" s="195"/>
      <c r="H17" s="176"/>
      <c r="I17" s="176"/>
      <c r="J17" s="177"/>
    </row>
    <row r="18" spans="1:18" ht="14.25">
      <c r="A18" s="164"/>
      <c r="B18" s="25" t="s">
        <v>37</v>
      </c>
      <c r="C18" s="26">
        <v>139000</v>
      </c>
      <c r="D18" s="26">
        <v>187000</v>
      </c>
      <c r="E18" s="27">
        <f>(C18-D18)/D18</f>
        <v>-0.25668449197860999</v>
      </c>
      <c r="F18" s="28">
        <v>6.1985737794843697E-2</v>
      </c>
      <c r="G18" s="150" t="s">
        <v>185</v>
      </c>
      <c r="H18" s="161"/>
      <c r="I18" s="161"/>
      <c r="J18" s="161"/>
    </row>
    <row r="23" spans="1:18" ht="14.25">
      <c r="A23" s="251" t="s">
        <v>450</v>
      </c>
      <c r="B23" s="252"/>
      <c r="C23" s="252"/>
      <c r="D23" s="252"/>
      <c r="E23" s="252"/>
      <c r="F23" s="252"/>
      <c r="G23" s="252"/>
      <c r="H23" s="252"/>
      <c r="I23" s="252"/>
      <c r="J23" s="252"/>
      <c r="K23" s="252"/>
      <c r="L23" s="252"/>
      <c r="M23" s="252"/>
      <c r="N23" s="252"/>
      <c r="O23" s="252"/>
      <c r="P23" s="252"/>
      <c r="Q23" s="252"/>
      <c r="R23" s="252"/>
    </row>
    <row r="24" spans="1:18" ht="14.25">
      <c r="A24" s="86" t="s">
        <v>41</v>
      </c>
      <c r="B24" s="86" t="s">
        <v>42</v>
      </c>
      <c r="C24" s="86" t="s">
        <v>43</v>
      </c>
      <c r="D24" s="86" t="s">
        <v>226</v>
      </c>
      <c r="E24" s="86" t="s">
        <v>451</v>
      </c>
      <c r="F24" s="86" t="s">
        <v>129</v>
      </c>
      <c r="G24" s="86" t="s">
        <v>19</v>
      </c>
      <c r="H24" s="86" t="s">
        <v>20</v>
      </c>
      <c r="I24" s="276" t="s">
        <v>21</v>
      </c>
      <c r="J24" s="276"/>
      <c r="K24" s="276"/>
      <c r="L24" s="276"/>
      <c r="M24" s="86" t="s">
        <v>226</v>
      </c>
      <c r="N24" s="86" t="s">
        <v>129</v>
      </c>
      <c r="O24" s="86" t="s">
        <v>227</v>
      </c>
      <c r="P24" s="276" t="s">
        <v>131</v>
      </c>
      <c r="Q24" s="276"/>
      <c r="R24" s="276"/>
    </row>
    <row r="25" spans="1:18" ht="14.25">
      <c r="A25" s="212" t="s">
        <v>44</v>
      </c>
      <c r="B25" s="128" t="s">
        <v>45</v>
      </c>
      <c r="C25" s="34" t="s">
        <v>46</v>
      </c>
      <c r="D25" s="64">
        <v>1200000</v>
      </c>
      <c r="E25" s="36">
        <v>321605</v>
      </c>
      <c r="F25" s="36">
        <v>169801</v>
      </c>
      <c r="G25" s="37">
        <f t="shared" ref="G25:G28" si="0">(E25-F25)/F25</f>
        <v>0.89401122490444696</v>
      </c>
      <c r="H25" s="37">
        <v>0.17895019742084201</v>
      </c>
      <c r="I25" s="231" t="s">
        <v>452</v>
      </c>
      <c r="J25" s="232"/>
      <c r="K25" s="232"/>
      <c r="L25" s="233"/>
      <c r="M25" s="64">
        <v>1200000</v>
      </c>
      <c r="N25" s="64">
        <v>622203</v>
      </c>
      <c r="O25" s="92">
        <f t="shared" ref="O25:O28" si="1">(M25-N25)/N25</f>
        <v>0.92863100949368604</v>
      </c>
      <c r="P25" s="150" t="s">
        <v>229</v>
      </c>
      <c r="Q25" s="150"/>
      <c r="R25" s="150"/>
    </row>
    <row r="26" spans="1:18" ht="30.2" customHeight="1">
      <c r="A26" s="213"/>
      <c r="B26" s="129" t="s">
        <v>48</v>
      </c>
      <c r="C26" s="43" t="s">
        <v>49</v>
      </c>
      <c r="D26" s="64">
        <v>300000</v>
      </c>
      <c r="E26" s="36">
        <v>29718</v>
      </c>
      <c r="F26" s="36">
        <v>69718</v>
      </c>
      <c r="G26" s="27">
        <f t="shared" si="0"/>
        <v>-0.57373992369258997</v>
      </c>
      <c r="H26" s="38">
        <v>1.6535943057329899E-2</v>
      </c>
      <c r="I26" s="231" t="s">
        <v>453</v>
      </c>
      <c r="J26" s="232"/>
      <c r="K26" s="232"/>
      <c r="L26" s="233"/>
      <c r="M26" s="64">
        <v>300000</v>
      </c>
      <c r="N26" s="64">
        <v>179348</v>
      </c>
      <c r="O26" s="92">
        <f t="shared" si="1"/>
        <v>0.67272565069027801</v>
      </c>
      <c r="P26" s="150"/>
      <c r="Q26" s="150"/>
      <c r="R26" s="150"/>
    </row>
    <row r="27" spans="1:18" ht="14.25">
      <c r="A27" s="213"/>
      <c r="B27" s="129" t="s">
        <v>50</v>
      </c>
      <c r="C27" s="43" t="s">
        <v>51</v>
      </c>
      <c r="D27" s="64">
        <v>500000</v>
      </c>
      <c r="E27" s="36">
        <v>160177</v>
      </c>
      <c r="F27" s="36">
        <v>232499</v>
      </c>
      <c r="G27" s="27">
        <f t="shared" si="0"/>
        <v>-0.3110637034998</v>
      </c>
      <c r="H27" s="38">
        <v>8.9127052664847495E-2</v>
      </c>
      <c r="I27" s="231" t="s">
        <v>191</v>
      </c>
      <c r="J27" s="232"/>
      <c r="K27" s="232"/>
      <c r="L27" s="233"/>
      <c r="M27" s="64">
        <v>500000</v>
      </c>
      <c r="N27" s="64">
        <v>838668</v>
      </c>
      <c r="O27" s="92">
        <f t="shared" si="1"/>
        <v>-0.403816528113628</v>
      </c>
      <c r="P27" s="150"/>
      <c r="Q27" s="150"/>
      <c r="R27" s="150"/>
    </row>
    <row r="28" spans="1:18" ht="14.25">
      <c r="A28" s="213"/>
      <c r="B28" s="129" t="s">
        <v>53</v>
      </c>
      <c r="C28" s="43" t="s">
        <v>54</v>
      </c>
      <c r="D28" s="64">
        <v>400000</v>
      </c>
      <c r="E28" s="36">
        <v>239339</v>
      </c>
      <c r="F28" s="36">
        <v>64442</v>
      </c>
      <c r="G28" s="27">
        <f t="shared" si="0"/>
        <v>2.7140219111759398</v>
      </c>
      <c r="H28" s="38">
        <v>0.13317504796413901</v>
      </c>
      <c r="I28" s="231" t="s">
        <v>454</v>
      </c>
      <c r="J28" s="232"/>
      <c r="K28" s="232"/>
      <c r="L28" s="233"/>
      <c r="M28" s="64">
        <v>400000</v>
      </c>
      <c r="N28" s="64">
        <v>210965</v>
      </c>
      <c r="O28" s="92">
        <f t="shared" si="1"/>
        <v>0.89604910767188894</v>
      </c>
      <c r="P28" s="150"/>
      <c r="Q28" s="150"/>
      <c r="R28" s="150"/>
    </row>
    <row r="29" spans="1:18" ht="14.25">
      <c r="A29" s="213"/>
      <c r="B29" s="129" t="s">
        <v>55</v>
      </c>
      <c r="C29" s="43" t="s">
        <v>56</v>
      </c>
      <c r="D29" s="64">
        <v>120000</v>
      </c>
      <c r="E29" s="36">
        <v>33375</v>
      </c>
      <c r="F29" s="29" t="s">
        <v>57</v>
      </c>
      <c r="G29" s="29" t="s">
        <v>57</v>
      </c>
      <c r="H29" s="38">
        <v>1.8570802191883298E-2</v>
      </c>
      <c r="I29" s="150"/>
      <c r="J29" s="150"/>
      <c r="K29" s="150"/>
      <c r="L29" s="150"/>
      <c r="M29" s="64">
        <v>120000</v>
      </c>
      <c r="N29" s="64" t="s">
        <v>57</v>
      </c>
      <c r="O29" s="64" t="s">
        <v>57</v>
      </c>
      <c r="P29" s="150"/>
      <c r="Q29" s="150"/>
      <c r="R29" s="150"/>
    </row>
    <row r="30" spans="1:18" ht="14.25">
      <c r="A30" s="213"/>
      <c r="B30" s="130" t="s">
        <v>137</v>
      </c>
      <c r="C30" s="43" t="s">
        <v>138</v>
      </c>
      <c r="D30" s="64">
        <v>30000</v>
      </c>
      <c r="E30" s="36">
        <v>5462</v>
      </c>
      <c r="F30" s="29" t="s">
        <v>57</v>
      </c>
      <c r="G30" s="29" t="s">
        <v>57</v>
      </c>
      <c r="H30" s="38">
        <v>3.0392126313727799E-3</v>
      </c>
      <c r="I30" s="203"/>
      <c r="J30" s="204"/>
      <c r="K30" s="204"/>
      <c r="L30" s="205"/>
      <c r="M30" s="64">
        <v>30000</v>
      </c>
      <c r="N30" s="64" t="s">
        <v>57</v>
      </c>
      <c r="O30" s="64" t="s">
        <v>57</v>
      </c>
      <c r="P30" s="150"/>
      <c r="Q30" s="150"/>
      <c r="R30" s="150"/>
    </row>
    <row r="31" spans="1:18" ht="19.5" customHeight="1">
      <c r="A31" s="168"/>
      <c r="B31" s="129" t="s">
        <v>232</v>
      </c>
      <c r="C31" s="43" t="s">
        <v>233</v>
      </c>
      <c r="D31" s="64">
        <v>130000</v>
      </c>
      <c r="E31" s="36">
        <v>106470</v>
      </c>
      <c r="F31" s="29" t="s">
        <v>57</v>
      </c>
      <c r="G31" s="29" t="s">
        <v>57</v>
      </c>
      <c r="H31" s="38">
        <v>5.9242945599095501E-2</v>
      </c>
      <c r="I31" s="231" t="s">
        <v>455</v>
      </c>
      <c r="J31" s="232"/>
      <c r="K31" s="232"/>
      <c r="L31" s="233"/>
      <c r="M31" s="64">
        <v>130000</v>
      </c>
      <c r="N31" s="64" t="s">
        <v>57</v>
      </c>
      <c r="O31" s="64" t="s">
        <v>57</v>
      </c>
      <c r="P31" s="150"/>
      <c r="Q31" s="150"/>
      <c r="R31" s="150"/>
    </row>
    <row r="32" spans="1:18" ht="14.25">
      <c r="A32" s="165" t="s">
        <v>59</v>
      </c>
      <c r="B32" s="129" t="s">
        <v>60</v>
      </c>
      <c r="C32" s="43" t="s">
        <v>61</v>
      </c>
      <c r="D32" s="64">
        <v>65000</v>
      </c>
      <c r="E32" s="36">
        <v>19353</v>
      </c>
      <c r="F32" s="26">
        <v>20361</v>
      </c>
      <c r="G32" s="28">
        <f t="shared" ref="G32:G39" si="2">(E32-F32)/F32</f>
        <v>-4.9506409311919797E-2</v>
      </c>
      <c r="H32" s="38">
        <v>1.07685613429069E-2</v>
      </c>
      <c r="I32" s="189" t="s">
        <v>456</v>
      </c>
      <c r="J32" s="190"/>
      <c r="K32" s="190"/>
      <c r="L32" s="191"/>
      <c r="M32" s="64">
        <v>65000</v>
      </c>
      <c r="N32" s="87">
        <v>62029</v>
      </c>
      <c r="O32" s="92">
        <f t="shared" ref="O32:O39" si="3">(M32-N32)/N32</f>
        <v>4.7896951425945897E-2</v>
      </c>
      <c r="P32" s="150" t="s">
        <v>195</v>
      </c>
      <c r="Q32" s="150"/>
      <c r="R32" s="150"/>
    </row>
    <row r="33" spans="1:18" ht="14.25">
      <c r="A33" s="165"/>
      <c r="B33" s="129" t="s">
        <v>63</v>
      </c>
      <c r="C33" s="43" t="s">
        <v>64</v>
      </c>
      <c r="D33" s="64">
        <v>10000</v>
      </c>
      <c r="E33" s="36">
        <v>3918</v>
      </c>
      <c r="F33" s="26">
        <v>7527</v>
      </c>
      <c r="G33" s="28">
        <f t="shared" si="2"/>
        <v>-0.47947389398166601</v>
      </c>
      <c r="H33" s="38">
        <v>2.1800869809078202E-3</v>
      </c>
      <c r="I33" s="195"/>
      <c r="J33" s="176"/>
      <c r="K33" s="176"/>
      <c r="L33" s="201"/>
      <c r="M33" s="64">
        <v>10000</v>
      </c>
      <c r="N33" s="87">
        <v>18340</v>
      </c>
      <c r="O33" s="92">
        <f t="shared" si="3"/>
        <v>-0.45474372955289</v>
      </c>
      <c r="P33" s="150"/>
      <c r="Q33" s="150"/>
      <c r="R33" s="150"/>
    </row>
    <row r="34" spans="1:18" ht="14.25">
      <c r="A34" s="165"/>
      <c r="B34" s="129" t="s">
        <v>65</v>
      </c>
      <c r="C34" s="43" t="s">
        <v>66</v>
      </c>
      <c r="D34" s="64">
        <v>80000</v>
      </c>
      <c r="E34" s="36">
        <v>28179</v>
      </c>
      <c r="F34" s="26">
        <v>24957</v>
      </c>
      <c r="G34" s="28">
        <f t="shared" si="2"/>
        <v>0.12910205553552101</v>
      </c>
      <c r="H34" s="38">
        <v>1.5679599549515501E-2</v>
      </c>
      <c r="I34" s="195"/>
      <c r="J34" s="176"/>
      <c r="K34" s="176"/>
      <c r="L34" s="201"/>
      <c r="M34" s="64">
        <v>80000</v>
      </c>
      <c r="N34" s="87">
        <v>71865</v>
      </c>
      <c r="O34" s="92">
        <f t="shared" si="3"/>
        <v>0.11319835803242199</v>
      </c>
      <c r="P34" s="150"/>
      <c r="Q34" s="150"/>
      <c r="R34" s="150"/>
    </row>
    <row r="35" spans="1:18" ht="14.25">
      <c r="A35" s="165"/>
      <c r="B35" s="129" t="s">
        <v>67</v>
      </c>
      <c r="C35" s="43" t="s">
        <v>68</v>
      </c>
      <c r="D35" s="64">
        <v>15000</v>
      </c>
      <c r="E35" s="36">
        <v>4554</v>
      </c>
      <c r="F35" s="26">
        <v>13753</v>
      </c>
      <c r="G35" s="28">
        <f t="shared" si="2"/>
        <v>-0.66887224605540596</v>
      </c>
      <c r="H35" s="38">
        <v>2.5339755260475301E-3</v>
      </c>
      <c r="I35" s="195"/>
      <c r="J35" s="176"/>
      <c r="K35" s="176"/>
      <c r="L35" s="201"/>
      <c r="M35" s="64">
        <v>15000</v>
      </c>
      <c r="N35" s="87">
        <v>28099</v>
      </c>
      <c r="O35" s="92">
        <f t="shared" si="3"/>
        <v>-0.466173173422542</v>
      </c>
      <c r="P35" s="150"/>
      <c r="Q35" s="150"/>
      <c r="R35" s="150"/>
    </row>
    <row r="36" spans="1:18" ht="14.25">
      <c r="A36" s="165"/>
      <c r="B36" s="129" t="s">
        <v>69</v>
      </c>
      <c r="C36" s="43" t="s">
        <v>70</v>
      </c>
      <c r="D36" s="87">
        <v>90000</v>
      </c>
      <c r="E36" s="36">
        <v>31327</v>
      </c>
      <c r="F36" s="26">
        <v>34320</v>
      </c>
      <c r="G36" s="28">
        <f t="shared" si="2"/>
        <v>-8.7208624708624699E-2</v>
      </c>
      <c r="H36" s="38">
        <v>1.7431236562250998E-2</v>
      </c>
      <c r="I36" s="195"/>
      <c r="J36" s="176"/>
      <c r="K36" s="176"/>
      <c r="L36" s="201"/>
      <c r="M36" s="87">
        <v>90000</v>
      </c>
      <c r="N36" s="87">
        <v>84197</v>
      </c>
      <c r="O36" s="92">
        <f t="shared" si="3"/>
        <v>6.8921695547347298E-2</v>
      </c>
      <c r="P36" s="150"/>
      <c r="Q36" s="150"/>
      <c r="R36" s="150"/>
    </row>
    <row r="37" spans="1:18" ht="14.25">
      <c r="A37" s="165"/>
      <c r="B37" s="129" t="s">
        <v>72</v>
      </c>
      <c r="C37" s="43" t="s">
        <v>73</v>
      </c>
      <c r="D37" s="87">
        <v>30000</v>
      </c>
      <c r="E37" s="36">
        <v>13896</v>
      </c>
      <c r="F37" s="26">
        <v>24445</v>
      </c>
      <c r="G37" s="28">
        <f t="shared" si="2"/>
        <v>-0.43154019226835799</v>
      </c>
      <c r="H37" s="38">
        <v>7.7321308541845697E-3</v>
      </c>
      <c r="I37" s="192"/>
      <c r="J37" s="193"/>
      <c r="K37" s="193"/>
      <c r="L37" s="194"/>
      <c r="M37" s="87">
        <v>30000</v>
      </c>
      <c r="N37" s="87">
        <v>37448</v>
      </c>
      <c r="O37" s="92">
        <f t="shared" si="3"/>
        <v>-0.19888912625507399</v>
      </c>
      <c r="P37" s="150"/>
      <c r="Q37" s="150"/>
      <c r="R37" s="150"/>
    </row>
    <row r="38" spans="1:18" ht="14.25">
      <c r="A38" s="167" t="s">
        <v>74</v>
      </c>
      <c r="B38" s="48">
        <v>100127194542</v>
      </c>
      <c r="C38" s="43" t="s">
        <v>75</v>
      </c>
      <c r="D38" s="87">
        <v>30000</v>
      </c>
      <c r="E38" s="36">
        <v>10778</v>
      </c>
      <c r="F38" s="26">
        <v>10795</v>
      </c>
      <c r="G38" s="28">
        <f t="shared" si="2"/>
        <v>-1.5748031496063001E-3</v>
      </c>
      <c r="H38" s="38">
        <v>5.9971866973518497E-3</v>
      </c>
      <c r="I38" s="150" t="s">
        <v>457</v>
      </c>
      <c r="J38" s="161"/>
      <c r="K38" s="161"/>
      <c r="L38" s="161"/>
      <c r="M38" s="87">
        <v>30000</v>
      </c>
      <c r="N38" s="87">
        <v>24490</v>
      </c>
      <c r="O38" s="92">
        <f t="shared" si="3"/>
        <v>0.224989791751735</v>
      </c>
      <c r="P38" s="150" t="s">
        <v>238</v>
      </c>
      <c r="Q38" s="150"/>
      <c r="R38" s="150"/>
    </row>
    <row r="39" spans="1:18" ht="14.25">
      <c r="A39" s="169"/>
      <c r="B39" s="48">
        <v>100150693764</v>
      </c>
      <c r="C39" s="49" t="s">
        <v>77</v>
      </c>
      <c r="D39" s="87">
        <v>50000</v>
      </c>
      <c r="E39" s="36">
        <v>15024</v>
      </c>
      <c r="F39" s="26">
        <v>23596</v>
      </c>
      <c r="G39" s="28">
        <f t="shared" si="2"/>
        <v>-0.36328191218850697</v>
      </c>
      <c r="H39" s="38">
        <v>8.3597822361304603E-3</v>
      </c>
      <c r="I39" s="161"/>
      <c r="J39" s="161"/>
      <c r="K39" s="161"/>
      <c r="L39" s="161"/>
      <c r="M39" s="87">
        <v>50000</v>
      </c>
      <c r="N39" s="87">
        <v>42440</v>
      </c>
      <c r="O39" s="92">
        <f t="shared" si="3"/>
        <v>0.17813383600377</v>
      </c>
      <c r="P39" s="150"/>
      <c r="Q39" s="150"/>
      <c r="R39" s="150"/>
    </row>
    <row r="40" spans="1:18" ht="14.25">
      <c r="A40" s="166"/>
      <c r="B40" s="48">
        <v>100325407774</v>
      </c>
      <c r="C40" s="93" t="s">
        <v>458</v>
      </c>
      <c r="D40" s="87">
        <v>3000</v>
      </c>
      <c r="E40" s="36">
        <v>843</v>
      </c>
      <c r="F40" s="29" t="s">
        <v>57</v>
      </c>
      <c r="G40" s="29" t="s">
        <v>57</v>
      </c>
      <c r="H40" s="38">
        <v>4.6906925086914102E-4</v>
      </c>
      <c r="I40" s="234"/>
      <c r="J40" s="235"/>
      <c r="K40" s="235"/>
      <c r="L40" s="236"/>
      <c r="M40" s="87">
        <v>3000</v>
      </c>
      <c r="N40" s="64" t="s">
        <v>57</v>
      </c>
      <c r="O40" s="92"/>
      <c r="P40" s="242" t="s">
        <v>240</v>
      </c>
      <c r="Q40" s="242"/>
      <c r="R40" s="242"/>
    </row>
    <row r="41" spans="1:18" ht="14.25">
      <c r="A41" s="164" t="s">
        <v>78</v>
      </c>
      <c r="B41" s="129" t="s">
        <v>79</v>
      </c>
      <c r="C41" s="43" t="s">
        <v>80</v>
      </c>
      <c r="D41" s="64">
        <v>35000</v>
      </c>
      <c r="E41" s="36">
        <v>11521</v>
      </c>
      <c r="F41" s="29" t="s">
        <v>57</v>
      </c>
      <c r="G41" s="29" t="s">
        <v>57</v>
      </c>
      <c r="H41" s="38">
        <v>6.4106130952115998E-3</v>
      </c>
      <c r="I41" s="189" t="s">
        <v>146</v>
      </c>
      <c r="J41" s="190"/>
      <c r="K41" s="190"/>
      <c r="L41" s="191"/>
      <c r="M41" s="64">
        <v>35000</v>
      </c>
      <c r="N41" s="64" t="s">
        <v>57</v>
      </c>
      <c r="O41" s="64" t="s">
        <v>57</v>
      </c>
      <c r="P41" s="150" t="s">
        <v>459</v>
      </c>
      <c r="Q41" s="150"/>
      <c r="R41" s="150"/>
    </row>
    <row r="42" spans="1:18" ht="14.25">
      <c r="A42" s="164"/>
      <c r="B42" s="129" t="s">
        <v>82</v>
      </c>
      <c r="C42" s="49" t="s">
        <v>83</v>
      </c>
      <c r="D42" s="64">
        <v>25000</v>
      </c>
      <c r="E42" s="36">
        <v>6955</v>
      </c>
      <c r="F42" s="29" t="s">
        <v>57</v>
      </c>
      <c r="G42" s="29" t="s">
        <v>57</v>
      </c>
      <c r="H42" s="38">
        <v>3.8699604268029402E-3</v>
      </c>
      <c r="I42" s="192"/>
      <c r="J42" s="193"/>
      <c r="K42" s="193"/>
      <c r="L42" s="194"/>
      <c r="M42" s="64">
        <v>25000</v>
      </c>
      <c r="N42" s="64" t="s">
        <v>57</v>
      </c>
      <c r="O42" s="64" t="s">
        <v>57</v>
      </c>
      <c r="P42" s="150"/>
      <c r="Q42" s="150"/>
      <c r="R42" s="150"/>
    </row>
    <row r="43" spans="1:18" ht="14.25">
      <c r="A43" s="164"/>
      <c r="B43" s="48">
        <v>100230489825</v>
      </c>
      <c r="C43" s="43" t="s">
        <v>84</v>
      </c>
      <c r="D43" s="88">
        <v>150000</v>
      </c>
      <c r="E43" s="36">
        <v>44816</v>
      </c>
      <c r="F43" s="29" t="s">
        <v>57</v>
      </c>
      <c r="G43" s="29" t="s">
        <v>57</v>
      </c>
      <c r="H43" s="38">
        <v>2.4936901004687401E-2</v>
      </c>
      <c r="I43" s="189" t="s">
        <v>460</v>
      </c>
      <c r="J43" s="190"/>
      <c r="K43" s="190"/>
      <c r="L43" s="191"/>
      <c r="M43" s="88">
        <v>150000</v>
      </c>
      <c r="N43" s="64" t="s">
        <v>57</v>
      </c>
      <c r="O43" s="64" t="s">
        <v>57</v>
      </c>
      <c r="P43" s="150"/>
      <c r="Q43" s="150"/>
      <c r="R43" s="150"/>
    </row>
    <row r="44" spans="1:18" ht="14.25">
      <c r="A44" s="164"/>
      <c r="B44" s="48">
        <v>100307579062</v>
      </c>
      <c r="C44" s="49" t="s">
        <v>85</v>
      </c>
      <c r="D44" s="89">
        <v>50000</v>
      </c>
      <c r="E44" s="36">
        <v>9675</v>
      </c>
      <c r="F44" s="29" t="s">
        <v>57</v>
      </c>
      <c r="G44" s="29" t="s">
        <v>57</v>
      </c>
      <c r="H44" s="38">
        <v>5.3834460286582998E-3</v>
      </c>
      <c r="I44" s="192"/>
      <c r="J44" s="193"/>
      <c r="K44" s="193"/>
      <c r="L44" s="194"/>
      <c r="M44" s="89">
        <v>50000</v>
      </c>
      <c r="N44" s="64" t="s">
        <v>57</v>
      </c>
      <c r="O44" s="64" t="s">
        <v>57</v>
      </c>
      <c r="P44" s="150"/>
      <c r="Q44" s="150"/>
      <c r="R44" s="150"/>
    </row>
    <row r="45" spans="1:18" ht="14.25">
      <c r="A45" s="52"/>
      <c r="B45" s="53"/>
      <c r="C45" s="53"/>
      <c r="D45" s="52"/>
      <c r="E45" s="53"/>
      <c r="F45" s="53"/>
      <c r="G45" s="53"/>
      <c r="H45" s="53"/>
      <c r="I45" s="53"/>
      <c r="J45" s="53"/>
      <c r="K45" s="53"/>
      <c r="L45" s="53"/>
      <c r="M45" s="53"/>
      <c r="N45" s="53"/>
      <c r="O45" s="53"/>
      <c r="P45" s="53"/>
    </row>
    <row r="46" spans="1:18" ht="14.25">
      <c r="A46" s="52"/>
      <c r="B46" s="53"/>
      <c r="C46" s="53"/>
      <c r="D46" s="52"/>
      <c r="E46" s="53"/>
      <c r="F46" s="53"/>
      <c r="G46" s="53"/>
      <c r="H46" s="53"/>
      <c r="I46" s="53"/>
      <c r="J46" s="53"/>
      <c r="K46" s="53"/>
      <c r="L46" s="53"/>
      <c r="M46" s="53"/>
      <c r="N46" s="53"/>
      <c r="O46" s="53"/>
      <c r="P46" s="53"/>
    </row>
    <row r="47" spans="1:18" ht="14.25">
      <c r="A47" s="277" t="s">
        <v>461</v>
      </c>
      <c r="B47" s="277"/>
      <c r="C47" s="277"/>
      <c r="D47" s="277"/>
      <c r="E47" s="277"/>
      <c r="F47" s="277"/>
      <c r="G47" s="277"/>
      <c r="H47" s="277"/>
      <c r="I47" s="277"/>
      <c r="J47" s="277"/>
      <c r="K47" s="277"/>
      <c r="L47" s="59"/>
      <c r="M47" s="59"/>
      <c r="N47" s="59"/>
      <c r="O47" s="59"/>
      <c r="P47" s="59"/>
    </row>
    <row r="48" spans="1:18" ht="14.25">
      <c r="A48" s="238" t="s">
        <v>87</v>
      </c>
      <c r="B48" s="238"/>
      <c r="C48" s="54" t="s">
        <v>226</v>
      </c>
      <c r="D48" s="54" t="s">
        <v>451</v>
      </c>
      <c r="E48" s="54" t="s">
        <v>129</v>
      </c>
      <c r="F48" s="54" t="s">
        <v>19</v>
      </c>
      <c r="G48" s="54" t="s">
        <v>20</v>
      </c>
      <c r="H48" s="238" t="s">
        <v>21</v>
      </c>
      <c r="I48" s="238"/>
      <c r="J48" s="238"/>
      <c r="K48" s="238"/>
      <c r="L48" s="59"/>
      <c r="M48" s="59"/>
      <c r="N48" s="59"/>
      <c r="O48" s="59"/>
      <c r="P48" s="278"/>
      <c r="Q48" s="278"/>
    </row>
    <row r="49" spans="1:17" ht="14.25">
      <c r="A49" s="164" t="s">
        <v>88</v>
      </c>
      <c r="B49" s="42" t="s">
        <v>89</v>
      </c>
      <c r="C49" s="29" t="s">
        <v>245</v>
      </c>
      <c r="D49" s="26">
        <v>1196057.69</v>
      </c>
      <c r="E49" s="26">
        <v>759413</v>
      </c>
      <c r="F49" s="28">
        <f t="shared" ref="F49:F52" si="4">(D49-E49)/E49</f>
        <v>0.57497658059580203</v>
      </c>
      <c r="G49" s="28">
        <v>0.66552062235418197</v>
      </c>
      <c r="H49" s="150" t="s">
        <v>462</v>
      </c>
      <c r="I49" s="150"/>
      <c r="J49" s="150"/>
      <c r="K49" s="150"/>
      <c r="L49" s="30"/>
      <c r="M49" s="94"/>
      <c r="N49" s="94"/>
      <c r="O49" s="94"/>
      <c r="P49" s="279"/>
      <c r="Q49" s="279"/>
    </row>
    <row r="50" spans="1:17" ht="14.25">
      <c r="A50" s="165"/>
      <c r="B50" s="42" t="s">
        <v>91</v>
      </c>
      <c r="C50" s="29" t="s">
        <v>247</v>
      </c>
      <c r="D50" s="26">
        <v>602092.77</v>
      </c>
      <c r="E50" s="26">
        <v>392841</v>
      </c>
      <c r="F50" s="28">
        <f t="shared" si="4"/>
        <v>0.53266275668782004</v>
      </c>
      <c r="G50" s="28">
        <v>0.335021594991253</v>
      </c>
      <c r="H50" s="150"/>
      <c r="I50" s="150"/>
      <c r="J50" s="150"/>
      <c r="K50" s="150"/>
      <c r="L50" s="30"/>
      <c r="M50" s="82"/>
      <c r="N50" s="94"/>
      <c r="O50" s="94"/>
      <c r="P50" s="279"/>
      <c r="Q50" s="280"/>
    </row>
    <row r="51" spans="1:17" ht="30" customHeight="1">
      <c r="A51" s="164" t="s">
        <v>92</v>
      </c>
      <c r="B51" s="25" t="s">
        <v>93</v>
      </c>
      <c r="C51" s="29" t="s">
        <v>250</v>
      </c>
      <c r="D51" s="26">
        <v>180751.14</v>
      </c>
      <c r="E51" s="26">
        <v>165875.95000000001</v>
      </c>
      <c r="F51" s="28">
        <f t="shared" si="4"/>
        <v>8.9676592658550006E-2</v>
      </c>
      <c r="G51" s="28">
        <v>0.100575091142993</v>
      </c>
      <c r="H51" s="150" t="s">
        <v>463</v>
      </c>
      <c r="I51" s="161"/>
      <c r="J51" s="161"/>
      <c r="K51" s="161"/>
      <c r="L51" s="90"/>
      <c r="M51" s="94"/>
      <c r="N51" s="94"/>
      <c r="O51" s="94"/>
      <c r="P51" s="279"/>
      <c r="Q51" s="280"/>
    </row>
    <row r="52" spans="1:17" ht="14.25">
      <c r="A52" s="165"/>
      <c r="B52" s="42" t="s">
        <v>95</v>
      </c>
      <c r="C52" s="29" t="s">
        <v>252</v>
      </c>
      <c r="D52" s="26">
        <v>683208</v>
      </c>
      <c r="E52" s="26">
        <v>633185</v>
      </c>
      <c r="F52" s="28">
        <f t="shared" si="4"/>
        <v>7.90021873544067E-2</v>
      </c>
      <c r="G52" s="28">
        <v>0.38015642318838</v>
      </c>
      <c r="H52" s="150" t="s">
        <v>464</v>
      </c>
      <c r="I52" s="161"/>
      <c r="J52" s="161"/>
      <c r="K52" s="161"/>
      <c r="L52" s="30"/>
      <c r="M52" s="82"/>
      <c r="N52" s="94"/>
      <c r="O52" s="94"/>
      <c r="P52" s="279"/>
      <c r="Q52" s="280"/>
    </row>
    <row r="53" spans="1:17" ht="14.25">
      <c r="A53" s="53"/>
      <c r="B53" s="53"/>
      <c r="C53" s="53"/>
      <c r="D53" s="53"/>
      <c r="E53" s="53"/>
      <c r="F53" s="53"/>
      <c r="G53" s="53"/>
      <c r="H53" s="53"/>
      <c r="I53" s="53"/>
      <c r="J53" s="53"/>
      <c r="K53" s="53"/>
      <c r="L53" s="53"/>
      <c r="M53" s="53"/>
      <c r="N53" s="53"/>
      <c r="O53" s="53"/>
      <c r="P53" s="53"/>
    </row>
    <row r="54" spans="1:17" ht="14.25">
      <c r="A54" s="53"/>
      <c r="B54" s="53"/>
      <c r="C54" s="53"/>
      <c r="D54" s="53"/>
      <c r="E54" s="53"/>
      <c r="F54" s="53"/>
      <c r="G54" s="53"/>
      <c r="H54" s="53"/>
      <c r="I54" s="53"/>
      <c r="J54" s="53"/>
      <c r="K54" s="53"/>
      <c r="L54" s="53"/>
      <c r="M54" s="53"/>
      <c r="N54" s="53"/>
      <c r="O54" s="53"/>
      <c r="P54" s="53"/>
    </row>
    <row r="55" spans="1:17" ht="14.25">
      <c r="A55" s="91" t="s">
        <v>97</v>
      </c>
      <c r="B55" s="91" t="s">
        <v>98</v>
      </c>
      <c r="C55" s="91" t="s">
        <v>99</v>
      </c>
      <c r="D55" s="91" t="s">
        <v>100</v>
      </c>
      <c r="E55" s="91" t="s">
        <v>101</v>
      </c>
      <c r="F55" s="162" t="s">
        <v>102</v>
      </c>
      <c r="G55" s="162"/>
      <c r="H55" s="163" t="s">
        <v>21</v>
      </c>
      <c r="I55" s="163"/>
      <c r="J55" s="163"/>
      <c r="K55" s="59"/>
      <c r="L55" s="59"/>
      <c r="M55" s="59"/>
      <c r="N55" s="59"/>
      <c r="O55" s="59"/>
      <c r="P55" s="1"/>
    </row>
    <row r="56" spans="1:17" ht="23.1" customHeight="1">
      <c r="A56" s="25" t="s">
        <v>89</v>
      </c>
      <c r="B56" s="26">
        <v>8251</v>
      </c>
      <c r="C56" s="26">
        <v>353865</v>
      </c>
      <c r="D56" s="60">
        <f>C56/B56</f>
        <v>42.887528784389801</v>
      </c>
      <c r="E56" s="150" t="s">
        <v>465</v>
      </c>
      <c r="F56" s="150" t="s">
        <v>466</v>
      </c>
      <c r="G56" s="150"/>
      <c r="H56" s="150" t="s">
        <v>467</v>
      </c>
      <c r="I56" s="150"/>
      <c r="J56" s="150"/>
      <c r="K56" s="214"/>
      <c r="L56" s="279"/>
      <c r="M56" s="214"/>
      <c r="N56" s="279"/>
      <c r="O56" s="279"/>
      <c r="P56" s="1"/>
    </row>
    <row r="57" spans="1:17" ht="22.35" customHeight="1">
      <c r="A57" s="25" t="s">
        <v>19</v>
      </c>
      <c r="B57" s="28">
        <v>2.7385000000000002</v>
      </c>
      <c r="C57" s="28">
        <v>0.54400000000000004</v>
      </c>
      <c r="D57" s="28">
        <v>-0.59179999999999999</v>
      </c>
      <c r="E57" s="150"/>
      <c r="F57" s="150"/>
      <c r="G57" s="150"/>
      <c r="H57" s="150"/>
      <c r="I57" s="150"/>
      <c r="J57" s="150"/>
      <c r="K57" s="215"/>
      <c r="L57" s="215"/>
      <c r="M57" s="215"/>
      <c r="N57" s="280"/>
      <c r="O57" s="280"/>
      <c r="P57" s="1"/>
    </row>
    <row r="58" spans="1:17" ht="22.5" customHeight="1">
      <c r="A58" s="25" t="s">
        <v>91</v>
      </c>
      <c r="B58" s="26">
        <v>3693</v>
      </c>
      <c r="C58" s="26">
        <v>211104</v>
      </c>
      <c r="D58" s="60">
        <f>C58/B58</f>
        <v>57.163281884646601</v>
      </c>
      <c r="E58" s="150" t="s">
        <v>468</v>
      </c>
      <c r="F58" s="150" t="s">
        <v>469</v>
      </c>
      <c r="G58" s="150"/>
      <c r="H58" s="150"/>
      <c r="I58" s="150"/>
      <c r="J58" s="150"/>
      <c r="K58" s="215"/>
      <c r="L58" s="215"/>
      <c r="M58" s="215"/>
      <c r="N58" s="280"/>
      <c r="O58" s="280"/>
      <c r="P58" s="1"/>
    </row>
    <row r="59" spans="1:17" ht="36.75" customHeight="1">
      <c r="A59" s="25" t="s">
        <v>19</v>
      </c>
      <c r="B59" s="28">
        <v>2.1017999999999999</v>
      </c>
      <c r="C59" s="28">
        <v>-9.2799999999999994E-2</v>
      </c>
      <c r="D59" s="28">
        <v>-0.64690000000000003</v>
      </c>
      <c r="E59" s="150"/>
      <c r="F59" s="150"/>
      <c r="G59" s="150"/>
      <c r="H59" s="150"/>
      <c r="I59" s="150"/>
      <c r="J59" s="150"/>
      <c r="K59" s="215"/>
      <c r="L59" s="215"/>
      <c r="M59" s="215"/>
      <c r="N59" s="280"/>
      <c r="O59" s="280"/>
      <c r="P59" s="1"/>
    </row>
    <row r="60" spans="1:17" ht="18" customHeight="1">
      <c r="A60" s="25" t="s">
        <v>97</v>
      </c>
      <c r="B60" s="26">
        <v>11944</v>
      </c>
      <c r="C60" s="26">
        <v>564969</v>
      </c>
      <c r="D60" s="60">
        <f>C60/B60</f>
        <v>47.301490288010697</v>
      </c>
      <c r="E60" s="187" t="s">
        <v>470</v>
      </c>
      <c r="F60" s="187"/>
      <c r="G60" s="187"/>
      <c r="H60" s="187"/>
      <c r="I60" s="187"/>
      <c r="J60" s="187"/>
      <c r="K60" s="215"/>
      <c r="L60" s="215"/>
      <c r="M60" s="215"/>
      <c r="N60" s="280"/>
      <c r="O60" s="280"/>
      <c r="P60" s="1"/>
    </row>
    <row r="61" spans="1:17" ht="16.5" customHeight="1">
      <c r="A61" s="42" t="s">
        <v>19</v>
      </c>
      <c r="B61" s="28">
        <v>2.4887999999999999</v>
      </c>
      <c r="C61" s="28">
        <v>0.55379999999999996</v>
      </c>
      <c r="D61" s="28">
        <v>-0.57779999999999998</v>
      </c>
      <c r="E61" s="187"/>
      <c r="F61" s="187"/>
      <c r="G61" s="187"/>
      <c r="H61" s="187"/>
      <c r="I61" s="187"/>
      <c r="J61" s="187"/>
      <c r="K61" s="215"/>
      <c r="L61" s="215"/>
      <c r="M61" s="215"/>
      <c r="N61" s="280"/>
      <c r="O61" s="280"/>
      <c r="P61" s="1"/>
    </row>
    <row r="62" spans="1:17">
      <c r="A62" s="2"/>
      <c r="B62" s="2"/>
      <c r="C62" s="2"/>
      <c r="D62" s="2"/>
    </row>
    <row r="64" spans="1:17" ht="14.25">
      <c r="A64" s="165" t="s">
        <v>109</v>
      </c>
      <c r="B64" s="62" t="s">
        <v>110</v>
      </c>
      <c r="C64" s="62" t="s">
        <v>111</v>
      </c>
      <c r="D64" s="62" t="s">
        <v>112</v>
      </c>
      <c r="E64" s="62" t="s">
        <v>113</v>
      </c>
      <c r="F64" s="62" t="s">
        <v>262</v>
      </c>
      <c r="G64" s="62" t="s">
        <v>263</v>
      </c>
    </row>
    <row r="65" spans="1:7" ht="14.25">
      <c r="A65" s="165"/>
      <c r="B65" s="25" t="s">
        <v>471</v>
      </c>
      <c r="C65" s="42">
        <v>7462</v>
      </c>
      <c r="D65" s="42">
        <v>8979</v>
      </c>
      <c r="E65" s="42">
        <v>39283</v>
      </c>
      <c r="F65" s="212">
        <v>5</v>
      </c>
      <c r="G65" s="212">
        <v>892</v>
      </c>
    </row>
    <row r="66" spans="1:7" ht="14.25">
      <c r="A66" s="165"/>
      <c r="B66" s="42" t="s">
        <v>117</v>
      </c>
      <c r="C66" s="42">
        <v>1152</v>
      </c>
      <c r="D66" s="42">
        <v>1416</v>
      </c>
      <c r="E66" s="42">
        <v>18962</v>
      </c>
      <c r="F66" s="213"/>
      <c r="G66" s="213"/>
    </row>
    <row r="67" spans="1:7" ht="14.25">
      <c r="A67" s="165"/>
      <c r="B67" s="42" t="s">
        <v>118</v>
      </c>
      <c r="C67" s="42">
        <v>1576</v>
      </c>
      <c r="D67" s="42">
        <v>1899</v>
      </c>
      <c r="E67" s="42">
        <v>32315.16</v>
      </c>
      <c r="F67" s="168"/>
      <c r="G67" s="168"/>
    </row>
    <row r="68" spans="1:7" ht="60" customHeight="1">
      <c r="A68" s="187" t="s">
        <v>472</v>
      </c>
      <c r="B68" s="188"/>
      <c r="C68" s="188"/>
      <c r="D68" s="188"/>
      <c r="E68" s="188"/>
      <c r="F68" s="188"/>
      <c r="G68" s="188"/>
    </row>
    <row r="71" spans="1:7" ht="14.25">
      <c r="A71" s="32" t="s">
        <v>42</v>
      </c>
      <c r="B71" s="32" t="s">
        <v>43</v>
      </c>
      <c r="C71" s="32" t="s">
        <v>266</v>
      </c>
      <c r="D71" s="32" t="s">
        <v>267</v>
      </c>
      <c r="E71" s="32" t="s">
        <v>268</v>
      </c>
    </row>
    <row r="72" spans="1:7" ht="14.25">
      <c r="A72" s="129" t="s">
        <v>404</v>
      </c>
      <c r="B72" s="25" t="s">
        <v>473</v>
      </c>
      <c r="C72" s="42">
        <v>1</v>
      </c>
      <c r="D72" s="42">
        <v>2480</v>
      </c>
      <c r="E72" s="26">
        <f t="shared" ref="E72:E76" si="5">C72*D72</f>
        <v>2480</v>
      </c>
    </row>
    <row r="73" spans="1:7" ht="14.25">
      <c r="A73" s="129" t="s">
        <v>406</v>
      </c>
      <c r="B73" s="25" t="s">
        <v>474</v>
      </c>
      <c r="C73" s="42">
        <v>1</v>
      </c>
      <c r="D73" s="42">
        <v>2473</v>
      </c>
      <c r="E73" s="26">
        <f t="shared" si="5"/>
        <v>2473</v>
      </c>
    </row>
    <row r="74" spans="1:7" ht="14.25">
      <c r="A74" s="129" t="s">
        <v>409</v>
      </c>
      <c r="B74" s="25" t="s">
        <v>475</v>
      </c>
      <c r="C74" s="42">
        <v>1</v>
      </c>
      <c r="D74" s="42">
        <v>1490</v>
      </c>
      <c r="E74" s="26">
        <f t="shared" si="5"/>
        <v>1490</v>
      </c>
    </row>
    <row r="75" spans="1:7" ht="14.25">
      <c r="A75" s="129" t="s">
        <v>273</v>
      </c>
      <c r="B75" s="42" t="s">
        <v>274</v>
      </c>
      <c r="C75" s="42">
        <v>1</v>
      </c>
      <c r="D75" s="42">
        <v>704</v>
      </c>
      <c r="E75" s="26">
        <f t="shared" si="5"/>
        <v>704</v>
      </c>
    </row>
    <row r="76" spans="1:7" ht="14.25">
      <c r="A76" s="129" t="s">
        <v>271</v>
      </c>
      <c r="B76" s="42" t="s">
        <v>272</v>
      </c>
      <c r="C76" s="42">
        <v>19.899999999999999</v>
      </c>
      <c r="D76" s="42">
        <v>526</v>
      </c>
      <c r="E76" s="26">
        <f t="shared" si="5"/>
        <v>10467.4</v>
      </c>
    </row>
  </sheetData>
  <sheetProtection formatCells="0" formatColumns="0" formatRows="0" insertColumns="0" insertRows="0" insertHyperlinks="0" deleteColumns="0" deleteRows="0" sort="0" autoFilter="0" pivotTables="0"/>
  <mergeCells count="67">
    <mergeCell ref="F56:G57"/>
    <mergeCell ref="E60:J61"/>
    <mergeCell ref="I41:L42"/>
    <mergeCell ref="I32:L37"/>
    <mergeCell ref="H49:K50"/>
    <mergeCell ref="H56:J59"/>
    <mergeCell ref="K56:K61"/>
    <mergeCell ref="L56:L61"/>
    <mergeCell ref="M56:M61"/>
    <mergeCell ref="N56:N61"/>
    <mergeCell ref="O56:O61"/>
    <mergeCell ref="A68:G68"/>
    <mergeCell ref="A12:A13"/>
    <mergeCell ref="A14:A15"/>
    <mergeCell ref="A16:A18"/>
    <mergeCell ref="A25:A31"/>
    <mergeCell ref="A32:A37"/>
    <mergeCell ref="A38:A40"/>
    <mergeCell ref="A41:A44"/>
    <mergeCell ref="A49:A50"/>
    <mergeCell ref="A51:A52"/>
    <mergeCell ref="A64:A67"/>
    <mergeCell ref="E56:E57"/>
    <mergeCell ref="E58:E59"/>
    <mergeCell ref="F65:F67"/>
    <mergeCell ref="G65:G67"/>
    <mergeCell ref="F58:G59"/>
    <mergeCell ref="H51:K51"/>
    <mergeCell ref="P51:Q51"/>
    <mergeCell ref="H52:K52"/>
    <mergeCell ref="P52:Q52"/>
    <mergeCell ref="F55:G55"/>
    <mergeCell ref="H55:J55"/>
    <mergeCell ref="A48:B48"/>
    <mergeCell ref="H48:K48"/>
    <mergeCell ref="P48:Q48"/>
    <mergeCell ref="P49:Q49"/>
    <mergeCell ref="P50:Q50"/>
    <mergeCell ref="I30:L30"/>
    <mergeCell ref="I31:L31"/>
    <mergeCell ref="I40:L40"/>
    <mergeCell ref="P40:R40"/>
    <mergeCell ref="A47:K47"/>
    <mergeCell ref="I43:L44"/>
    <mergeCell ref="I38:L39"/>
    <mergeCell ref="P25:R31"/>
    <mergeCell ref="P32:R37"/>
    <mergeCell ref="P38:R39"/>
    <mergeCell ref="P41:R44"/>
    <mergeCell ref="I25:L25"/>
    <mergeCell ref="I26:L26"/>
    <mergeCell ref="I27:L27"/>
    <mergeCell ref="I28:L28"/>
    <mergeCell ref="I29:L29"/>
    <mergeCell ref="G15:J15"/>
    <mergeCell ref="G18:J18"/>
    <mergeCell ref="A23:R23"/>
    <mergeCell ref="I24:L24"/>
    <mergeCell ref="P24:R24"/>
    <mergeCell ref="G16:J17"/>
    <mergeCell ref="A1:G1"/>
    <mergeCell ref="A10:J10"/>
    <mergeCell ref="A11:B11"/>
    <mergeCell ref="G11:J11"/>
    <mergeCell ref="G14:J14"/>
    <mergeCell ref="G12:J13"/>
    <mergeCell ref="E6:G7"/>
  </mergeCells>
  <phoneticPr fontId="15" type="noConversion"/>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O77"/>
  <sheetViews>
    <sheetView topLeftCell="I29" zoomScale="90" zoomScaleNormal="90" workbookViewId="0">
      <selection activeCell="F57" sqref="F57:F58"/>
    </sheetView>
  </sheetViews>
  <sheetFormatPr defaultColWidth="9" defaultRowHeight="13.5"/>
  <cols>
    <col min="1" max="1" width="11.75" customWidth="1"/>
    <col min="2" max="2" width="12.625" customWidth="1"/>
    <col min="3" max="3" width="26.125" customWidth="1"/>
    <col min="4" max="4" width="17.25" customWidth="1"/>
    <col min="5" max="5" width="18.5" customWidth="1"/>
    <col min="6" max="6" width="24.375" customWidth="1"/>
    <col min="7" max="7" width="32.5" customWidth="1"/>
    <col min="9" max="9" width="15.125" customWidth="1"/>
    <col min="10" max="10" width="12.875" customWidth="1"/>
    <col min="11" max="11" width="11.375" customWidth="1"/>
    <col min="12" max="12" width="10.25" customWidth="1"/>
  </cols>
  <sheetData>
    <row r="1" spans="1:10" ht="14.25">
      <c r="A1" s="136" t="s">
        <v>476</v>
      </c>
      <c r="B1" s="137"/>
      <c r="C1" s="137"/>
      <c r="D1" s="137"/>
      <c r="E1" s="137"/>
      <c r="F1" s="137"/>
      <c r="G1" s="137"/>
    </row>
    <row r="2" spans="1:10" ht="14.25">
      <c r="A2" s="4" t="s">
        <v>1</v>
      </c>
      <c r="B2" s="4" t="s">
        <v>2</v>
      </c>
      <c r="C2" s="4" t="s">
        <v>3</v>
      </c>
      <c r="D2" s="4" t="s">
        <v>4</v>
      </c>
      <c r="E2" s="4" t="s">
        <v>5</v>
      </c>
      <c r="F2" s="4" t="s">
        <v>6</v>
      </c>
      <c r="G2" s="4" t="s">
        <v>7</v>
      </c>
    </row>
    <row r="3" spans="1:10" ht="14.25">
      <c r="A3" s="5" t="s">
        <v>9</v>
      </c>
      <c r="B3" s="5">
        <v>2555</v>
      </c>
      <c r="C3" s="5">
        <v>2639</v>
      </c>
      <c r="D3" s="7">
        <f t="shared" ref="D3:D7" si="0">(C3-B3)/B3</f>
        <v>3.2876712328767099E-2</v>
      </c>
      <c r="E3" s="7">
        <f>B3/(B3+B4+B5)</f>
        <v>0.44761737911702898</v>
      </c>
      <c r="F3" s="7">
        <f>C3/(C3+C4+C5)</f>
        <v>0.349721706864564</v>
      </c>
      <c r="G3" s="7">
        <f>F3-E3</f>
        <v>-9.7895672252464802E-2</v>
      </c>
    </row>
    <row r="4" spans="1:10" ht="14.25">
      <c r="A4" s="8" t="s">
        <v>11</v>
      </c>
      <c r="B4" s="5">
        <v>2617</v>
      </c>
      <c r="C4" s="5">
        <v>4344</v>
      </c>
      <c r="D4" s="7">
        <f t="shared" si="0"/>
        <v>0.65991593427588802</v>
      </c>
      <c r="E4" s="7">
        <f>B4/(B4+B5+B3)</f>
        <v>0.45847932725998602</v>
      </c>
      <c r="F4" s="7">
        <f>C4/(C3+C4+C5)</f>
        <v>0.57566922873045301</v>
      </c>
      <c r="G4" s="7">
        <f>F4-E4</f>
        <v>0.117189901470467</v>
      </c>
    </row>
    <row r="5" spans="1:10" ht="14.25">
      <c r="A5" s="8" t="s">
        <v>12</v>
      </c>
      <c r="B5" s="12">
        <v>536</v>
      </c>
      <c r="C5" s="12">
        <v>563</v>
      </c>
      <c r="D5" s="7">
        <f t="shared" si="0"/>
        <v>5.0373134328358202E-2</v>
      </c>
      <c r="E5" s="13">
        <f>B5/(B5+B4+B3)</f>
        <v>9.3903293622985301E-2</v>
      </c>
      <c r="F5" s="13">
        <f>C5/(C3+C4+C5)</f>
        <v>7.46090644049828E-2</v>
      </c>
      <c r="G5" s="13">
        <f>F5-E5</f>
        <v>-1.9294229218002501E-2</v>
      </c>
    </row>
    <row r="6" spans="1:10" ht="29.65" customHeight="1">
      <c r="A6" s="8" t="s">
        <v>13</v>
      </c>
      <c r="B6" s="14">
        <v>331</v>
      </c>
      <c r="C6" s="14">
        <v>389</v>
      </c>
      <c r="D6" s="15">
        <f t="shared" si="0"/>
        <v>0.17522658610271899</v>
      </c>
      <c r="E6" s="249" t="s">
        <v>477</v>
      </c>
      <c r="F6" s="250"/>
      <c r="G6" s="250"/>
    </row>
    <row r="7" spans="1:10" ht="25.5" customHeight="1">
      <c r="A7" s="19" t="s">
        <v>14</v>
      </c>
      <c r="B7" s="83">
        <v>309</v>
      </c>
      <c r="C7" s="84">
        <v>372</v>
      </c>
      <c r="D7" s="85">
        <f t="shared" si="0"/>
        <v>0.20388349514563101</v>
      </c>
      <c r="E7" s="250"/>
      <c r="F7" s="250"/>
      <c r="G7" s="250"/>
    </row>
    <row r="10" spans="1:10" ht="14.25">
      <c r="A10" s="141" t="s">
        <v>478</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2266792</v>
      </c>
      <c r="D12" s="26">
        <v>1608214</v>
      </c>
      <c r="E12" s="27">
        <f t="shared" ref="E12:E16" si="1">(C12-D12)/D12</f>
        <v>0.40950893351258</v>
      </c>
      <c r="F12" s="28">
        <v>0.40480142622051601</v>
      </c>
      <c r="G12" s="228" t="s">
        <v>479</v>
      </c>
      <c r="H12" s="254"/>
      <c r="I12" s="254"/>
      <c r="J12" s="255"/>
    </row>
    <row r="13" spans="1:10" ht="14.25">
      <c r="A13" s="164"/>
      <c r="B13" s="25" t="s">
        <v>25</v>
      </c>
      <c r="C13" s="26">
        <v>110967</v>
      </c>
      <c r="D13" s="26">
        <v>53193</v>
      </c>
      <c r="E13" s="27">
        <f t="shared" si="1"/>
        <v>1.08612035418194</v>
      </c>
      <c r="F13" s="28">
        <v>2.15364783324191E-2</v>
      </c>
      <c r="G13" s="256"/>
      <c r="H13" s="257"/>
      <c r="I13" s="257"/>
      <c r="J13" s="258"/>
    </row>
    <row r="14" spans="1:10" ht="60.75" customHeight="1">
      <c r="A14" s="164" t="s">
        <v>26</v>
      </c>
      <c r="B14" s="25" t="s">
        <v>27</v>
      </c>
      <c r="C14" s="26">
        <v>1685159</v>
      </c>
      <c r="D14" s="26">
        <v>1171946.6100000001</v>
      </c>
      <c r="E14" s="27">
        <f t="shared" si="1"/>
        <v>0.43791447973897002</v>
      </c>
      <c r="F14" s="28">
        <v>0.39243300054854602</v>
      </c>
      <c r="G14" s="146" t="s">
        <v>480</v>
      </c>
      <c r="H14" s="147"/>
      <c r="I14" s="147"/>
      <c r="J14" s="147"/>
    </row>
    <row r="15" spans="1:10" ht="32.450000000000003" customHeight="1">
      <c r="A15" s="164"/>
      <c r="B15" s="25" t="s">
        <v>29</v>
      </c>
      <c r="C15" s="26">
        <v>253205</v>
      </c>
      <c r="D15" s="26">
        <v>344410</v>
      </c>
      <c r="E15" s="27">
        <f t="shared" si="1"/>
        <v>-0.26481519119653901</v>
      </c>
      <c r="F15" s="28">
        <v>8.1198162369720203E-2</v>
      </c>
      <c r="G15" s="146" t="s">
        <v>481</v>
      </c>
      <c r="H15" s="147"/>
      <c r="I15" s="147"/>
      <c r="J15" s="147"/>
    </row>
    <row r="16" spans="1:10" ht="14.25">
      <c r="A16" s="164" t="s">
        <v>31</v>
      </c>
      <c r="B16" s="25" t="s">
        <v>34</v>
      </c>
      <c r="C16" s="26">
        <v>199206</v>
      </c>
      <c r="D16" s="26">
        <v>5530</v>
      </c>
      <c r="E16" s="27">
        <f t="shared" si="1"/>
        <v>35.022784810126602</v>
      </c>
      <c r="F16" s="28">
        <v>6.8247235326385103E-2</v>
      </c>
      <c r="G16" s="195" t="s">
        <v>285</v>
      </c>
      <c r="H16" s="176"/>
      <c r="I16" s="176"/>
      <c r="J16" s="177"/>
    </row>
    <row r="17" spans="1:15" ht="14.25">
      <c r="A17" s="164"/>
      <c r="B17" s="25" t="s">
        <v>36</v>
      </c>
      <c r="C17" s="26">
        <v>96562</v>
      </c>
      <c r="D17" s="26">
        <v>49549</v>
      </c>
      <c r="E17" s="27">
        <f t="shared" ref="E17:E18" si="2">(C17-D17)/D17</f>
        <v>0.94881834143978705</v>
      </c>
      <c r="F17" s="28">
        <v>4.0258913878222703E-2</v>
      </c>
      <c r="G17" s="195"/>
      <c r="H17" s="176"/>
      <c r="I17" s="176"/>
      <c r="J17" s="177"/>
    </row>
    <row r="18" spans="1:15" ht="45.75" customHeight="1">
      <c r="A18" s="164"/>
      <c r="B18" s="25" t="s">
        <v>37</v>
      </c>
      <c r="C18" s="26">
        <v>299000</v>
      </c>
      <c r="D18" s="26">
        <v>389000</v>
      </c>
      <c r="E18" s="27">
        <f t="shared" si="2"/>
        <v>-0.231362467866324</v>
      </c>
      <c r="F18" s="28">
        <v>7.6799999999999993E-2</v>
      </c>
      <c r="G18" s="150" t="s">
        <v>482</v>
      </c>
      <c r="H18" s="161"/>
      <c r="I18" s="161"/>
      <c r="J18" s="161"/>
    </row>
    <row r="19" spans="1:15" ht="14.25">
      <c r="C19" s="30"/>
      <c r="D19" s="30"/>
      <c r="E19" s="31"/>
    </row>
    <row r="23" spans="1:15" ht="14.25">
      <c r="A23" s="251" t="s">
        <v>483</v>
      </c>
      <c r="B23" s="252"/>
      <c r="C23" s="252"/>
      <c r="D23" s="252"/>
      <c r="E23" s="252"/>
      <c r="F23" s="252"/>
      <c r="G23" s="252"/>
      <c r="H23" s="252"/>
      <c r="I23" s="252"/>
      <c r="J23" s="252"/>
      <c r="K23" s="252"/>
      <c r="L23" s="252"/>
      <c r="M23" s="252"/>
      <c r="N23" s="252"/>
      <c r="O23" s="252"/>
    </row>
    <row r="24" spans="1:15" ht="14.25">
      <c r="A24" s="86" t="s">
        <v>41</v>
      </c>
      <c r="B24" s="86" t="s">
        <v>42</v>
      </c>
      <c r="C24" s="86" t="s">
        <v>43</v>
      </c>
      <c r="D24" s="86" t="s">
        <v>226</v>
      </c>
      <c r="E24" s="86" t="s">
        <v>484</v>
      </c>
      <c r="F24" s="86" t="s">
        <v>129</v>
      </c>
      <c r="G24" s="86" t="s">
        <v>19</v>
      </c>
      <c r="H24" s="86" t="s">
        <v>20</v>
      </c>
      <c r="I24" s="276" t="s">
        <v>21</v>
      </c>
      <c r="J24" s="276"/>
      <c r="K24" s="276"/>
      <c r="L24" s="276"/>
      <c r="M24" s="276" t="s">
        <v>292</v>
      </c>
      <c r="N24" s="276"/>
      <c r="O24" s="276"/>
    </row>
    <row r="25" spans="1:15" ht="14.25">
      <c r="A25" s="212" t="s">
        <v>44</v>
      </c>
      <c r="B25" s="128" t="s">
        <v>45</v>
      </c>
      <c r="C25" s="34" t="s">
        <v>46</v>
      </c>
      <c r="D25" s="64">
        <v>1200000</v>
      </c>
      <c r="E25" s="36">
        <v>788658</v>
      </c>
      <c r="F25" s="36">
        <v>413869</v>
      </c>
      <c r="G25" s="37">
        <f t="shared" ref="G25:G28" si="3">(E25-F25)/F25</f>
        <v>0.90557398597140604</v>
      </c>
      <c r="H25" s="37">
        <v>0.20279583617687799</v>
      </c>
      <c r="I25" s="189" t="s">
        <v>485</v>
      </c>
      <c r="J25" s="190"/>
      <c r="K25" s="190"/>
      <c r="L25" s="191"/>
      <c r="M25" s="150" t="s">
        <v>486</v>
      </c>
      <c r="N25" s="150"/>
      <c r="O25" s="150"/>
    </row>
    <row r="26" spans="1:15" ht="26.85" customHeight="1">
      <c r="A26" s="213"/>
      <c r="B26" s="129" t="s">
        <v>48</v>
      </c>
      <c r="C26" s="43" t="s">
        <v>49</v>
      </c>
      <c r="D26" s="64">
        <v>300000</v>
      </c>
      <c r="E26" s="36">
        <v>102400</v>
      </c>
      <c r="F26" s="36">
        <v>139423</v>
      </c>
      <c r="G26" s="27">
        <f t="shared" si="3"/>
        <v>-0.26554442236933601</v>
      </c>
      <c r="H26" s="38">
        <v>2.63311772967652E-2</v>
      </c>
      <c r="I26" s="192"/>
      <c r="J26" s="193"/>
      <c r="K26" s="193"/>
      <c r="L26" s="194"/>
      <c r="M26" s="150"/>
      <c r="N26" s="150"/>
      <c r="O26" s="150"/>
    </row>
    <row r="27" spans="1:15" ht="26.85" customHeight="1">
      <c r="A27" s="213"/>
      <c r="B27" s="129" t="s">
        <v>50</v>
      </c>
      <c r="C27" s="43" t="s">
        <v>51</v>
      </c>
      <c r="D27" s="64">
        <v>500000</v>
      </c>
      <c r="E27" s="36">
        <v>356086</v>
      </c>
      <c r="F27" s="36">
        <v>634841</v>
      </c>
      <c r="G27" s="27">
        <f t="shared" si="3"/>
        <v>-0.43909419838983299</v>
      </c>
      <c r="H27" s="38">
        <v>9.1564097645468204E-2</v>
      </c>
      <c r="I27" s="189" t="s">
        <v>487</v>
      </c>
      <c r="J27" s="190"/>
      <c r="K27" s="190"/>
      <c r="L27" s="191"/>
      <c r="M27" s="150"/>
      <c r="N27" s="150"/>
      <c r="O27" s="150"/>
    </row>
    <row r="28" spans="1:15" ht="14.25">
      <c r="A28" s="213"/>
      <c r="B28" s="129" t="s">
        <v>53</v>
      </c>
      <c r="C28" s="43" t="s">
        <v>54</v>
      </c>
      <c r="D28" s="64">
        <v>400000</v>
      </c>
      <c r="E28" s="36">
        <v>431075</v>
      </c>
      <c r="F28" s="36">
        <v>150558</v>
      </c>
      <c r="G28" s="27">
        <f t="shared" si="3"/>
        <v>1.8631822951952099</v>
      </c>
      <c r="H28" s="38">
        <v>0.110846799347686</v>
      </c>
      <c r="I28" s="192"/>
      <c r="J28" s="193"/>
      <c r="K28" s="193"/>
      <c r="L28" s="194"/>
      <c r="M28" s="150"/>
      <c r="N28" s="150"/>
      <c r="O28" s="150"/>
    </row>
    <row r="29" spans="1:15" ht="14.25">
      <c r="A29" s="213"/>
      <c r="B29" s="129" t="s">
        <v>55</v>
      </c>
      <c r="C29" s="43" t="s">
        <v>56</v>
      </c>
      <c r="D29" s="64">
        <v>120000</v>
      </c>
      <c r="E29" s="36">
        <v>56134</v>
      </c>
      <c r="F29" s="29" t="s">
        <v>57</v>
      </c>
      <c r="G29" s="29" t="s">
        <v>57</v>
      </c>
      <c r="H29" s="38">
        <v>1.4434319398209199E-2</v>
      </c>
      <c r="I29" s="189" t="s">
        <v>488</v>
      </c>
      <c r="J29" s="190"/>
      <c r="K29" s="190"/>
      <c r="L29" s="191"/>
      <c r="M29" s="150"/>
      <c r="N29" s="150"/>
      <c r="O29" s="150"/>
    </row>
    <row r="30" spans="1:15" ht="14.25">
      <c r="A30" s="213"/>
      <c r="B30" s="130" t="s">
        <v>137</v>
      </c>
      <c r="C30" s="43" t="s">
        <v>138</v>
      </c>
      <c r="D30" s="64">
        <v>30000</v>
      </c>
      <c r="E30" s="36">
        <v>16296</v>
      </c>
      <c r="F30" s="29" t="s">
        <v>57</v>
      </c>
      <c r="G30" s="29" t="s">
        <v>57</v>
      </c>
      <c r="H30" s="38">
        <v>4.1903600119930296E-3</v>
      </c>
      <c r="I30" s="192"/>
      <c r="J30" s="193"/>
      <c r="K30" s="193"/>
      <c r="L30" s="194"/>
      <c r="M30" s="150"/>
      <c r="N30" s="150"/>
      <c r="O30" s="150"/>
    </row>
    <row r="31" spans="1:15" ht="29.65" customHeight="1">
      <c r="A31" s="168"/>
      <c r="B31" s="129" t="s">
        <v>232</v>
      </c>
      <c r="C31" s="43" t="s">
        <v>233</v>
      </c>
      <c r="D31" s="64">
        <v>130000</v>
      </c>
      <c r="E31" s="36">
        <v>106470</v>
      </c>
      <c r="F31" s="29" t="s">
        <v>57</v>
      </c>
      <c r="G31" s="29" t="s">
        <v>57</v>
      </c>
      <c r="H31" s="38">
        <v>2.73777387381503E-2</v>
      </c>
      <c r="I31" s="231" t="s">
        <v>489</v>
      </c>
      <c r="J31" s="232"/>
      <c r="K31" s="232"/>
      <c r="L31" s="233"/>
      <c r="M31" s="150"/>
      <c r="N31" s="150"/>
      <c r="O31" s="150"/>
    </row>
    <row r="32" spans="1:15" ht="14.25">
      <c r="A32" s="165" t="s">
        <v>59</v>
      </c>
      <c r="B32" s="129" t="s">
        <v>60</v>
      </c>
      <c r="C32" s="43" t="s">
        <v>61</v>
      </c>
      <c r="D32" s="64">
        <v>65000</v>
      </c>
      <c r="E32" s="36">
        <v>42389</v>
      </c>
      <c r="F32" s="26">
        <v>46594</v>
      </c>
      <c r="G32" s="28">
        <f t="shared" ref="G32:G39" si="4">(E32-F32)/F32</f>
        <v>-9.0247671373996696E-2</v>
      </c>
      <c r="H32" s="38">
        <v>1.0899924555005699E-2</v>
      </c>
      <c r="I32" s="189" t="s">
        <v>490</v>
      </c>
      <c r="J32" s="190"/>
      <c r="K32" s="190"/>
      <c r="L32" s="191"/>
      <c r="M32" s="150" t="s">
        <v>195</v>
      </c>
      <c r="N32" s="150"/>
      <c r="O32" s="150"/>
    </row>
    <row r="33" spans="1:15" ht="14.25">
      <c r="A33" s="165"/>
      <c r="B33" s="129" t="s">
        <v>63</v>
      </c>
      <c r="C33" s="43" t="s">
        <v>64</v>
      </c>
      <c r="D33" s="64">
        <v>10000</v>
      </c>
      <c r="E33" s="36">
        <v>10674</v>
      </c>
      <c r="F33" s="26">
        <v>22866</v>
      </c>
      <c r="G33" s="28">
        <f t="shared" si="4"/>
        <v>-0.53319338756232004</v>
      </c>
      <c r="H33" s="38">
        <v>2.7447166647038301E-3</v>
      </c>
      <c r="I33" s="195"/>
      <c r="J33" s="176"/>
      <c r="K33" s="176"/>
      <c r="L33" s="201"/>
      <c r="M33" s="150"/>
      <c r="N33" s="150"/>
      <c r="O33" s="150"/>
    </row>
    <row r="34" spans="1:15" ht="14.25">
      <c r="A34" s="165"/>
      <c r="B34" s="129" t="s">
        <v>65</v>
      </c>
      <c r="C34" s="43" t="s">
        <v>66</v>
      </c>
      <c r="D34" s="64">
        <v>80000</v>
      </c>
      <c r="E34" s="36">
        <v>66707</v>
      </c>
      <c r="F34" s="26">
        <v>55208</v>
      </c>
      <c r="G34" s="28">
        <f t="shared" si="4"/>
        <v>0.20828503115490499</v>
      </c>
      <c r="H34" s="38">
        <v>1.71530648821808E-2</v>
      </c>
      <c r="I34" s="195"/>
      <c r="J34" s="176"/>
      <c r="K34" s="176"/>
      <c r="L34" s="201"/>
      <c r="M34" s="150"/>
      <c r="N34" s="150"/>
      <c r="O34" s="150"/>
    </row>
    <row r="35" spans="1:15" ht="14.25">
      <c r="A35" s="165"/>
      <c r="B35" s="129" t="s">
        <v>67</v>
      </c>
      <c r="C35" s="43" t="s">
        <v>68</v>
      </c>
      <c r="D35" s="64">
        <v>15000</v>
      </c>
      <c r="E35" s="36">
        <v>10674</v>
      </c>
      <c r="F35" s="26">
        <v>22866</v>
      </c>
      <c r="G35" s="28">
        <f t="shared" si="4"/>
        <v>-0.53319338756232004</v>
      </c>
      <c r="H35" s="38">
        <v>2.7447166647038301E-3</v>
      </c>
      <c r="I35" s="195"/>
      <c r="J35" s="176"/>
      <c r="K35" s="176"/>
      <c r="L35" s="201"/>
      <c r="M35" s="150"/>
      <c r="N35" s="150"/>
      <c r="O35" s="150"/>
    </row>
    <row r="36" spans="1:15" ht="14.25">
      <c r="A36" s="165"/>
      <c r="B36" s="129" t="s">
        <v>69</v>
      </c>
      <c r="C36" s="43" t="s">
        <v>70</v>
      </c>
      <c r="D36" s="87">
        <v>90000</v>
      </c>
      <c r="E36" s="36">
        <v>57305</v>
      </c>
      <c r="F36" s="26">
        <v>64205</v>
      </c>
      <c r="G36" s="28">
        <f t="shared" si="4"/>
        <v>-0.10746826571139299</v>
      </c>
      <c r="H36" s="38">
        <v>1.47354308104603E-2</v>
      </c>
      <c r="I36" s="195"/>
      <c r="J36" s="176"/>
      <c r="K36" s="176"/>
      <c r="L36" s="201"/>
      <c r="M36" s="150"/>
      <c r="N36" s="150"/>
      <c r="O36" s="150"/>
    </row>
    <row r="37" spans="1:15" ht="14.25">
      <c r="A37" s="165"/>
      <c r="B37" s="129" t="s">
        <v>72</v>
      </c>
      <c r="C37" s="43" t="s">
        <v>73</v>
      </c>
      <c r="D37" s="87">
        <v>30000</v>
      </c>
      <c r="E37" s="36">
        <v>24146</v>
      </c>
      <c r="F37" s="26">
        <v>33378</v>
      </c>
      <c r="G37" s="28">
        <f t="shared" si="4"/>
        <v>-0.27658937024387298</v>
      </c>
      <c r="H37" s="38">
        <v>6.2089121778095002E-3</v>
      </c>
      <c r="I37" s="192"/>
      <c r="J37" s="193"/>
      <c r="K37" s="193"/>
      <c r="L37" s="194"/>
      <c r="M37" s="150"/>
      <c r="N37" s="150"/>
      <c r="O37" s="150"/>
    </row>
    <row r="38" spans="1:15" ht="14.25">
      <c r="A38" s="167" t="s">
        <v>74</v>
      </c>
      <c r="B38" s="48">
        <v>100127194542</v>
      </c>
      <c r="C38" s="43" t="s">
        <v>75</v>
      </c>
      <c r="D38" s="87">
        <v>30000</v>
      </c>
      <c r="E38" s="36">
        <v>24084</v>
      </c>
      <c r="F38" s="26">
        <v>19483</v>
      </c>
      <c r="G38" s="28">
        <f t="shared" si="4"/>
        <v>0.23615459631473601</v>
      </c>
      <c r="H38" s="38">
        <v>6.8538203092576204E-3</v>
      </c>
      <c r="I38" s="150" t="s">
        <v>491</v>
      </c>
      <c r="J38" s="161"/>
      <c r="K38" s="161"/>
      <c r="L38" s="161"/>
      <c r="M38" s="150" t="s">
        <v>238</v>
      </c>
      <c r="N38" s="150"/>
      <c r="O38" s="150"/>
    </row>
    <row r="39" spans="1:15" ht="14.25">
      <c r="A39" s="169"/>
      <c r="B39" s="48">
        <v>100150693764</v>
      </c>
      <c r="C39" s="49" t="s">
        <v>77</v>
      </c>
      <c r="D39" s="87">
        <v>50000</v>
      </c>
      <c r="E39" s="36">
        <v>26654</v>
      </c>
      <c r="F39" s="26">
        <v>32587</v>
      </c>
      <c r="G39" s="28">
        <f t="shared" si="4"/>
        <v>-0.18206646822352501</v>
      </c>
      <c r="H39" s="38">
        <v>6.1929694728055998E-3</v>
      </c>
      <c r="I39" s="161"/>
      <c r="J39" s="161"/>
      <c r="K39" s="161"/>
      <c r="L39" s="161"/>
      <c r="M39" s="150"/>
      <c r="N39" s="150"/>
      <c r="O39" s="150"/>
    </row>
    <row r="40" spans="1:15" ht="14.25">
      <c r="A40" s="166"/>
      <c r="B40" s="48">
        <v>100325407774</v>
      </c>
      <c r="C40" s="43" t="s">
        <v>301</v>
      </c>
      <c r="D40" s="87">
        <v>3000</v>
      </c>
      <c r="E40" s="36">
        <v>4821</v>
      </c>
      <c r="F40" s="29" t="s">
        <v>57</v>
      </c>
      <c r="G40" s="29" t="s">
        <v>57</v>
      </c>
      <c r="H40" s="38">
        <v>1.2396738842549301E-3</v>
      </c>
      <c r="I40" s="231" t="s">
        <v>302</v>
      </c>
      <c r="J40" s="235"/>
      <c r="K40" s="235"/>
      <c r="L40" s="236"/>
      <c r="M40" s="242" t="s">
        <v>240</v>
      </c>
      <c r="N40" s="242"/>
      <c r="O40" s="242"/>
    </row>
    <row r="41" spans="1:15" ht="14.25">
      <c r="A41" s="164" t="s">
        <v>78</v>
      </c>
      <c r="B41" s="129" t="s">
        <v>79</v>
      </c>
      <c r="C41" s="43" t="s">
        <v>80</v>
      </c>
      <c r="D41" s="64">
        <v>35000</v>
      </c>
      <c r="E41" s="36">
        <v>24727</v>
      </c>
      <c r="F41" s="29" t="s">
        <v>57</v>
      </c>
      <c r="G41" s="29" t="s">
        <v>57</v>
      </c>
      <c r="H41" s="38">
        <v>6.3583107521202496E-3</v>
      </c>
      <c r="I41" s="189" t="s">
        <v>146</v>
      </c>
      <c r="J41" s="190"/>
      <c r="K41" s="190"/>
      <c r="L41" s="191"/>
      <c r="M41" s="150" t="s">
        <v>459</v>
      </c>
      <c r="N41" s="150"/>
      <c r="O41" s="150"/>
    </row>
    <row r="42" spans="1:15" ht="14.25">
      <c r="A42" s="164"/>
      <c r="B42" s="129" t="s">
        <v>82</v>
      </c>
      <c r="C42" s="49" t="s">
        <v>83</v>
      </c>
      <c r="D42" s="64">
        <v>25000</v>
      </c>
      <c r="E42" s="36">
        <v>13474</v>
      </c>
      <c r="F42" s="29" t="s">
        <v>57</v>
      </c>
      <c r="G42" s="29" t="s">
        <v>57</v>
      </c>
      <c r="H42" s="38">
        <v>3.46470979391225E-3</v>
      </c>
      <c r="I42" s="192"/>
      <c r="J42" s="193"/>
      <c r="K42" s="193"/>
      <c r="L42" s="194"/>
      <c r="M42" s="150"/>
      <c r="N42" s="150"/>
      <c r="O42" s="150"/>
    </row>
    <row r="43" spans="1:15" ht="14.25">
      <c r="A43" s="164"/>
      <c r="B43" s="48">
        <v>100230489825</v>
      </c>
      <c r="C43" s="43" t="s">
        <v>84</v>
      </c>
      <c r="D43" s="88">
        <v>150000</v>
      </c>
      <c r="E43" s="36">
        <v>113444</v>
      </c>
      <c r="F43" s="29" t="s">
        <v>57</v>
      </c>
      <c r="G43" s="29" t="s">
        <v>57</v>
      </c>
      <c r="H43" s="38">
        <v>2.91710359106859E-2</v>
      </c>
      <c r="I43" s="189" t="s">
        <v>492</v>
      </c>
      <c r="J43" s="190"/>
      <c r="K43" s="190"/>
      <c r="L43" s="191"/>
      <c r="M43" s="150"/>
      <c r="N43" s="150"/>
      <c r="O43" s="150"/>
    </row>
    <row r="44" spans="1:15" ht="14.25">
      <c r="A44" s="164"/>
      <c r="B44" s="48">
        <v>100307579062</v>
      </c>
      <c r="C44" s="49" t="s">
        <v>85</v>
      </c>
      <c r="D44" s="89">
        <v>50000</v>
      </c>
      <c r="E44" s="36">
        <v>22466</v>
      </c>
      <c r="F44" s="29" t="s">
        <v>57</v>
      </c>
      <c r="G44" s="29" t="s">
        <v>57</v>
      </c>
      <c r="H44" s="38">
        <v>5.7769163002844501E-3</v>
      </c>
      <c r="I44" s="192"/>
      <c r="J44" s="193"/>
      <c r="K44" s="193"/>
      <c r="L44" s="194"/>
      <c r="M44" s="150"/>
      <c r="N44" s="150"/>
      <c r="O44" s="150"/>
    </row>
    <row r="45" spans="1:15" ht="14.25">
      <c r="A45" s="52"/>
      <c r="B45" s="53"/>
      <c r="C45" s="53"/>
      <c r="D45" s="52"/>
      <c r="E45" s="53"/>
      <c r="F45" s="53"/>
      <c r="G45" s="53"/>
      <c r="H45" s="53"/>
      <c r="I45" s="53"/>
      <c r="J45" s="53"/>
      <c r="K45" s="53"/>
      <c r="L45" s="53"/>
      <c r="M45" s="53"/>
    </row>
    <row r="46" spans="1:15" ht="14.25">
      <c r="A46" s="52"/>
      <c r="B46" s="53"/>
      <c r="C46" s="53"/>
      <c r="D46" s="52"/>
      <c r="E46" s="53"/>
      <c r="F46" s="53"/>
      <c r="G46" s="53"/>
      <c r="H46" s="53"/>
      <c r="I46" s="53"/>
      <c r="J46" s="53"/>
      <c r="K46" s="53"/>
      <c r="L46" s="53"/>
      <c r="M46" s="53"/>
    </row>
    <row r="47" spans="1:15" ht="14.25">
      <c r="A47" s="281" t="s">
        <v>493</v>
      </c>
      <c r="B47" s="282"/>
      <c r="C47" s="282"/>
      <c r="D47" s="282"/>
      <c r="E47" s="282"/>
      <c r="F47" s="282"/>
      <c r="G47" s="282"/>
      <c r="H47" s="282"/>
      <c r="I47" s="282"/>
      <c r="J47" s="282"/>
      <c r="K47" s="282"/>
      <c r="L47" s="59"/>
      <c r="M47" s="59"/>
    </row>
    <row r="48" spans="1:15" ht="14.25">
      <c r="A48" s="238" t="s">
        <v>87</v>
      </c>
      <c r="B48" s="238"/>
      <c r="C48" s="54" t="s">
        <v>226</v>
      </c>
      <c r="D48" s="54" t="s">
        <v>494</v>
      </c>
      <c r="E48" s="54" t="s">
        <v>129</v>
      </c>
      <c r="F48" s="54" t="s">
        <v>19</v>
      </c>
      <c r="G48" s="54" t="s">
        <v>20</v>
      </c>
      <c r="H48" s="238" t="s">
        <v>21</v>
      </c>
      <c r="I48" s="238"/>
      <c r="J48" s="238"/>
      <c r="K48" s="238"/>
      <c r="L48" s="59"/>
      <c r="M48" s="278"/>
      <c r="N48" s="278"/>
    </row>
    <row r="49" spans="1:14" ht="23.25" customHeight="1">
      <c r="A49" s="164" t="s">
        <v>88</v>
      </c>
      <c r="B49" s="42" t="s">
        <v>89</v>
      </c>
      <c r="C49" s="29" t="s">
        <v>245</v>
      </c>
      <c r="D49" s="26">
        <v>2488291.81</v>
      </c>
      <c r="E49" s="26">
        <v>1248561.56</v>
      </c>
      <c r="F49" s="28">
        <f t="shared" ref="F49:F52" si="5">(D49-E49)/E49</f>
        <v>0.99292681251535597</v>
      </c>
      <c r="G49" s="28">
        <v>0.66710000000000003</v>
      </c>
      <c r="H49" s="150" t="s">
        <v>495</v>
      </c>
      <c r="I49" s="150"/>
      <c r="J49" s="150"/>
      <c r="K49" s="150"/>
      <c r="L49" s="30"/>
      <c r="M49" s="279"/>
      <c r="N49" s="279"/>
    </row>
    <row r="50" spans="1:14" ht="23.25" customHeight="1">
      <c r="A50" s="165"/>
      <c r="B50" s="42" t="s">
        <v>91</v>
      </c>
      <c r="C50" s="29" t="s">
        <v>247</v>
      </c>
      <c r="D50" s="26">
        <v>1248561.56</v>
      </c>
      <c r="E50" s="26">
        <v>1223897.3500000001</v>
      </c>
      <c r="F50" s="28">
        <f t="shared" si="5"/>
        <v>2.0152188416781801E-2</v>
      </c>
      <c r="G50" s="28">
        <v>0.35410000000000003</v>
      </c>
      <c r="H50" s="150"/>
      <c r="I50" s="150"/>
      <c r="J50" s="150"/>
      <c r="K50" s="150"/>
      <c r="L50" s="30"/>
      <c r="M50" s="279"/>
      <c r="N50" s="280"/>
    </row>
    <row r="51" spans="1:14" ht="49.5" customHeight="1">
      <c r="A51" s="164" t="s">
        <v>92</v>
      </c>
      <c r="B51" s="25" t="s">
        <v>93</v>
      </c>
      <c r="C51" s="29" t="s">
        <v>250</v>
      </c>
      <c r="D51" s="26">
        <v>361278.77</v>
      </c>
      <c r="E51" s="26">
        <v>310190.28999999998</v>
      </c>
      <c r="F51" s="28">
        <f t="shared" si="5"/>
        <v>0.16470044887607599</v>
      </c>
      <c r="G51" s="28">
        <v>0.100575091142993</v>
      </c>
      <c r="H51" s="150" t="s">
        <v>317</v>
      </c>
      <c r="I51" s="161"/>
      <c r="J51" s="161"/>
      <c r="K51" s="161"/>
      <c r="L51" s="90"/>
      <c r="M51" s="279"/>
      <c r="N51" s="280"/>
    </row>
    <row r="52" spans="1:14" ht="45.75" customHeight="1">
      <c r="A52" s="165"/>
      <c r="B52" s="42" t="s">
        <v>95</v>
      </c>
      <c r="C52" s="29" t="s">
        <v>252</v>
      </c>
      <c r="D52" s="26">
        <v>1458148</v>
      </c>
      <c r="E52" s="26">
        <v>1268101</v>
      </c>
      <c r="F52" s="28">
        <f t="shared" si="5"/>
        <v>0.14986740015188099</v>
      </c>
      <c r="G52" s="28">
        <v>0.38015642318838</v>
      </c>
      <c r="H52" s="150" t="s">
        <v>323</v>
      </c>
      <c r="I52" s="161"/>
      <c r="J52" s="161"/>
      <c r="K52" s="161"/>
      <c r="L52" s="30"/>
      <c r="M52" s="279"/>
      <c r="N52" s="280"/>
    </row>
    <row r="53" spans="1:14" ht="14.25">
      <c r="A53" s="53"/>
      <c r="B53" s="53"/>
      <c r="C53" s="53"/>
      <c r="D53" s="53"/>
      <c r="E53" s="53"/>
      <c r="F53" s="53"/>
      <c r="G53" s="53"/>
      <c r="H53" s="53"/>
      <c r="I53" s="53"/>
      <c r="J53" s="53"/>
      <c r="K53" s="53"/>
      <c r="L53" s="53"/>
      <c r="M53" s="53"/>
    </row>
    <row r="54" spans="1:14" ht="14.25">
      <c r="A54" s="53"/>
      <c r="B54" s="53"/>
      <c r="C54" s="53"/>
      <c r="D54" s="53"/>
      <c r="E54" s="53"/>
      <c r="F54" s="53"/>
      <c r="G54" s="53"/>
      <c r="H54" s="53"/>
      <c r="I54" s="53"/>
      <c r="J54" s="53"/>
      <c r="K54" s="53"/>
      <c r="L54" s="53"/>
      <c r="M54" s="53"/>
    </row>
    <row r="55" spans="1:14" ht="21" customHeight="1">
      <c r="A55" s="91" t="s">
        <v>97</v>
      </c>
      <c r="B55" s="91" t="s">
        <v>98</v>
      </c>
      <c r="C55" s="91" t="s">
        <v>99</v>
      </c>
      <c r="D55" s="91" t="s">
        <v>496</v>
      </c>
      <c r="E55" s="91" t="s">
        <v>497</v>
      </c>
      <c r="F55" s="91" t="s">
        <v>498</v>
      </c>
      <c r="G55" s="91" t="s">
        <v>101</v>
      </c>
      <c r="H55" s="162" t="s">
        <v>102</v>
      </c>
      <c r="I55" s="162"/>
      <c r="J55" s="163" t="s">
        <v>21</v>
      </c>
      <c r="K55" s="163"/>
      <c r="L55" s="163"/>
      <c r="M55" s="163"/>
    </row>
    <row r="56" spans="1:14" ht="15.75" customHeight="1">
      <c r="A56" s="25" t="s">
        <v>89</v>
      </c>
      <c r="B56" s="26">
        <v>14816</v>
      </c>
      <c r="C56" s="26">
        <v>728632</v>
      </c>
      <c r="D56" s="60">
        <f t="shared" ref="D56:D58" si="6">C56/B56</f>
        <v>49.178725701943797</v>
      </c>
      <c r="E56" s="60">
        <v>42.89</v>
      </c>
      <c r="F56" s="79">
        <v>58.65</v>
      </c>
      <c r="G56" s="150" t="s">
        <v>499</v>
      </c>
      <c r="H56" s="187" t="s">
        <v>500</v>
      </c>
      <c r="I56" s="187"/>
      <c r="J56" s="187" t="s">
        <v>501</v>
      </c>
      <c r="K56" s="187"/>
      <c r="L56" s="187"/>
      <c r="M56" s="187"/>
    </row>
    <row r="57" spans="1:14" ht="15.75" customHeight="1">
      <c r="A57" s="25" t="s">
        <v>19</v>
      </c>
      <c r="B57" s="28">
        <v>1.2857000000000001</v>
      </c>
      <c r="C57" s="28">
        <v>0.58909999999999996</v>
      </c>
      <c r="D57" s="28">
        <v>-0.30470000000000003</v>
      </c>
      <c r="E57" s="28">
        <v>-0.59179999999999999</v>
      </c>
      <c r="F57" s="92" t="s">
        <v>502</v>
      </c>
      <c r="G57" s="150"/>
      <c r="H57" s="187"/>
      <c r="I57" s="187"/>
      <c r="J57" s="187"/>
      <c r="K57" s="187"/>
      <c r="L57" s="187"/>
      <c r="M57" s="187"/>
    </row>
    <row r="58" spans="1:14" ht="15.75" customHeight="1">
      <c r="A58" s="25" t="s">
        <v>91</v>
      </c>
      <c r="B58" s="26">
        <v>7036</v>
      </c>
      <c r="C58" s="26">
        <v>450661</v>
      </c>
      <c r="D58" s="60">
        <f t="shared" si="6"/>
        <v>64.050739056281998</v>
      </c>
      <c r="E58" s="60">
        <v>57.16</v>
      </c>
      <c r="F58" s="79">
        <v>80.86</v>
      </c>
      <c r="G58" s="187" t="s">
        <v>503</v>
      </c>
      <c r="H58" s="187" t="s">
        <v>504</v>
      </c>
      <c r="I58" s="187"/>
      <c r="J58" s="187"/>
      <c r="K58" s="187"/>
      <c r="L58" s="187"/>
      <c r="M58" s="187"/>
    </row>
    <row r="59" spans="1:14" ht="15.75" customHeight="1">
      <c r="A59" s="25" t="s">
        <v>19</v>
      </c>
      <c r="B59" s="28">
        <v>1.3469</v>
      </c>
      <c r="C59" s="28">
        <v>-6.54E-2</v>
      </c>
      <c r="D59" s="28">
        <v>-0.45679999999999998</v>
      </c>
      <c r="E59" s="28">
        <v>-0.64690000000000003</v>
      </c>
      <c r="F59" s="92" t="s">
        <v>505</v>
      </c>
      <c r="G59" s="187"/>
      <c r="H59" s="187"/>
      <c r="I59" s="187"/>
      <c r="J59" s="187"/>
      <c r="K59" s="187"/>
      <c r="L59" s="187"/>
      <c r="M59" s="187"/>
    </row>
    <row r="60" spans="1:14" ht="14.25">
      <c r="A60" s="25" t="s">
        <v>97</v>
      </c>
      <c r="B60" s="26">
        <v>21852</v>
      </c>
      <c r="C60" s="26">
        <v>1179293</v>
      </c>
      <c r="D60" s="60">
        <f>C60/B60</f>
        <v>53.967279882848302</v>
      </c>
      <c r="E60" s="60">
        <v>47.3</v>
      </c>
      <c r="F60" s="61">
        <v>66.349999999999994</v>
      </c>
      <c r="G60" s="187" t="s">
        <v>338</v>
      </c>
      <c r="H60" s="187"/>
      <c r="I60" s="187"/>
      <c r="J60" s="187"/>
      <c r="K60" s="187"/>
      <c r="L60" s="187"/>
      <c r="M60" s="187"/>
    </row>
    <row r="61" spans="1:14" ht="14.25">
      <c r="A61" s="42" t="s">
        <v>19</v>
      </c>
      <c r="B61" s="28">
        <v>1.3050999999999999</v>
      </c>
      <c r="C61" s="28">
        <v>0.1585</v>
      </c>
      <c r="D61" s="28">
        <v>-0.39269999999999999</v>
      </c>
      <c r="E61" s="28">
        <v>-0.57779999999999998</v>
      </c>
      <c r="F61" s="92" t="s">
        <v>506</v>
      </c>
      <c r="G61" s="187"/>
      <c r="H61" s="187"/>
      <c r="I61" s="187"/>
      <c r="J61" s="187"/>
      <c r="K61" s="187"/>
      <c r="L61" s="187"/>
      <c r="M61" s="187"/>
    </row>
    <row r="62" spans="1:14" ht="14.25">
      <c r="B62" s="164" t="s">
        <v>507</v>
      </c>
      <c r="C62" s="165"/>
      <c r="D62" s="165"/>
      <c r="E62" s="165"/>
      <c r="F62" s="165"/>
    </row>
    <row r="65" spans="1:7" ht="14.25">
      <c r="A65" s="165" t="s">
        <v>109</v>
      </c>
      <c r="B65" s="62" t="s">
        <v>110</v>
      </c>
      <c r="C65" s="62" t="s">
        <v>111</v>
      </c>
      <c r="D65" s="62" t="s">
        <v>112</v>
      </c>
      <c r="E65" s="62" t="s">
        <v>113</v>
      </c>
      <c r="F65" s="62" t="s">
        <v>262</v>
      </c>
      <c r="G65" s="62" t="s">
        <v>263</v>
      </c>
    </row>
    <row r="66" spans="1:7" ht="14.25">
      <c r="A66" s="165"/>
      <c r="B66" s="25" t="s">
        <v>508</v>
      </c>
      <c r="C66" s="42">
        <v>10736</v>
      </c>
      <c r="D66" s="42">
        <v>12278</v>
      </c>
      <c r="E66" s="42">
        <v>96565</v>
      </c>
      <c r="F66" s="212">
        <v>22</v>
      </c>
      <c r="G66" s="212">
        <v>2245</v>
      </c>
    </row>
    <row r="67" spans="1:7" ht="14.25">
      <c r="A67" s="165"/>
      <c r="B67" s="42" t="s">
        <v>117</v>
      </c>
      <c r="C67" s="42">
        <v>1520</v>
      </c>
      <c r="D67" s="42">
        <v>1810</v>
      </c>
      <c r="E67" s="42">
        <v>29172.85</v>
      </c>
      <c r="F67" s="213"/>
      <c r="G67" s="213"/>
    </row>
    <row r="68" spans="1:7" ht="14.25">
      <c r="A68" s="165"/>
      <c r="B68" s="42" t="s">
        <v>118</v>
      </c>
      <c r="C68" s="42">
        <v>2363</v>
      </c>
      <c r="D68" s="42">
        <v>2741</v>
      </c>
      <c r="E68" s="42">
        <v>59985.64</v>
      </c>
      <c r="F68" s="168"/>
      <c r="G68" s="168"/>
    </row>
    <row r="69" spans="1:7" ht="36.75" customHeight="1">
      <c r="A69" s="187" t="s">
        <v>509</v>
      </c>
      <c r="B69" s="188"/>
      <c r="C69" s="188"/>
      <c r="D69" s="188"/>
      <c r="E69" s="188"/>
      <c r="F69" s="188"/>
      <c r="G69" s="188"/>
    </row>
    <row r="72" spans="1:7" ht="14.25">
      <c r="A72" s="32" t="s">
        <v>42</v>
      </c>
      <c r="B72" s="32" t="s">
        <v>43</v>
      </c>
      <c r="C72" s="32" t="s">
        <v>266</v>
      </c>
      <c r="D72" s="32" t="s">
        <v>267</v>
      </c>
      <c r="E72" s="32" t="s">
        <v>268</v>
      </c>
    </row>
    <row r="73" spans="1:7" ht="14.25">
      <c r="A73" s="130" t="s">
        <v>269</v>
      </c>
      <c r="B73" s="25" t="s">
        <v>270</v>
      </c>
      <c r="C73" s="42">
        <v>17.899999999999999</v>
      </c>
      <c r="D73" s="42">
        <v>2285</v>
      </c>
      <c r="E73" s="26">
        <f>C73*D73</f>
        <v>40901.5</v>
      </c>
    </row>
    <row r="74" spans="1:7" ht="14.25">
      <c r="A74" s="129" t="s">
        <v>271</v>
      </c>
      <c r="B74" s="42" t="s">
        <v>272</v>
      </c>
      <c r="C74" s="42">
        <v>19.899999999999999</v>
      </c>
      <c r="D74" s="42">
        <v>1299</v>
      </c>
      <c r="E74" s="26">
        <f>C74*D74</f>
        <v>25850.1</v>
      </c>
    </row>
    <row r="75" spans="1:7" ht="14.25">
      <c r="A75" s="130" t="s">
        <v>277</v>
      </c>
      <c r="B75" s="25" t="s">
        <v>510</v>
      </c>
      <c r="C75" s="42">
        <v>9.9</v>
      </c>
      <c r="D75" s="42">
        <v>425</v>
      </c>
      <c r="E75" s="26">
        <f>C75*D75</f>
        <v>4207.5</v>
      </c>
    </row>
    <row r="76" spans="1:7" ht="14.25">
      <c r="A76" s="130" t="s">
        <v>275</v>
      </c>
      <c r="B76" s="25" t="s">
        <v>511</v>
      </c>
      <c r="C76" s="42">
        <v>19.899999999999999</v>
      </c>
      <c r="D76" s="42">
        <v>358</v>
      </c>
      <c r="E76" s="26">
        <f>C76*D76</f>
        <v>7124.2</v>
      </c>
    </row>
    <row r="77" spans="1:7" ht="14.25">
      <c r="A77" s="130" t="s">
        <v>422</v>
      </c>
      <c r="B77" s="25" t="s">
        <v>512</v>
      </c>
      <c r="C77" s="42">
        <v>25</v>
      </c>
      <c r="D77" s="42">
        <v>100</v>
      </c>
      <c r="E77" s="26">
        <f>C77*D77</f>
        <v>2500</v>
      </c>
    </row>
  </sheetData>
  <sheetProtection formatCells="0" formatColumns="0" formatRows="0" insertColumns="0" insertRows="0" insertHyperlinks="0" deleteColumns="0" deleteRows="0" sort="0" autoFilter="0" pivotTables="0"/>
  <mergeCells count="60">
    <mergeCell ref="I27:L28"/>
    <mergeCell ref="H56:I57"/>
    <mergeCell ref="H58:I59"/>
    <mergeCell ref="J56:M59"/>
    <mergeCell ref="G60:M61"/>
    <mergeCell ref="G58:G59"/>
    <mergeCell ref="G66:G68"/>
    <mergeCell ref="E6:G7"/>
    <mergeCell ref="G16:J17"/>
    <mergeCell ref="M25:O31"/>
    <mergeCell ref="I32:L37"/>
    <mergeCell ref="M32:O37"/>
    <mergeCell ref="I38:L39"/>
    <mergeCell ref="M38:O39"/>
    <mergeCell ref="I41:L42"/>
    <mergeCell ref="M41:O44"/>
    <mergeCell ref="I43:L44"/>
    <mergeCell ref="H49:K50"/>
    <mergeCell ref="G12:J13"/>
    <mergeCell ref="I29:L30"/>
    <mergeCell ref="I25:L26"/>
    <mergeCell ref="H55:I55"/>
    <mergeCell ref="J55:M55"/>
    <mergeCell ref="B62:F62"/>
    <mergeCell ref="A69:G69"/>
    <mergeCell ref="A12:A13"/>
    <mergeCell ref="A14:A15"/>
    <mergeCell ref="A16:A18"/>
    <mergeCell ref="A25:A31"/>
    <mergeCell ref="A32:A37"/>
    <mergeCell ref="A38:A40"/>
    <mergeCell ref="A41:A44"/>
    <mergeCell ref="A49:A50"/>
    <mergeCell ref="A51:A52"/>
    <mergeCell ref="A65:A68"/>
    <mergeCell ref="F66:F68"/>
    <mergeCell ref="G56:G57"/>
    <mergeCell ref="M49:N49"/>
    <mergeCell ref="M50:N50"/>
    <mergeCell ref="H51:K51"/>
    <mergeCell ref="M51:N51"/>
    <mergeCell ref="H52:K52"/>
    <mergeCell ref="M52:N52"/>
    <mergeCell ref="I31:L31"/>
    <mergeCell ref="I40:L40"/>
    <mergeCell ref="M40:O40"/>
    <mergeCell ref="A47:K47"/>
    <mergeCell ref="A48:B48"/>
    <mergeCell ref="H48:K48"/>
    <mergeCell ref="M48:N48"/>
    <mergeCell ref="G15:J15"/>
    <mergeCell ref="G18:J18"/>
    <mergeCell ref="A23:O23"/>
    <mergeCell ref="I24:L24"/>
    <mergeCell ref="M24:O24"/>
    <mergeCell ref="A1:G1"/>
    <mergeCell ref="A10:J10"/>
    <mergeCell ref="A11:B11"/>
    <mergeCell ref="G11:J11"/>
    <mergeCell ref="G14:J14"/>
  </mergeCells>
  <phoneticPr fontId="15" type="noConversion"/>
  <pageMargins left="0.75" right="0.75" top="1" bottom="1" header="0.5" footer="0.5"/>
  <ignoredErrors>
    <ignoredError sqref="B41:B42" numberStoredAsText="1"/>
  </ignoredError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S80"/>
  <sheetViews>
    <sheetView topLeftCell="A64" workbookViewId="0">
      <selection activeCell="E74" sqref="E74"/>
    </sheetView>
  </sheetViews>
  <sheetFormatPr defaultColWidth="9" defaultRowHeight="13.5"/>
  <cols>
    <col min="1" max="1" width="11.75" customWidth="1"/>
    <col min="2" max="2" width="12.625" customWidth="1"/>
    <col min="3" max="3" width="26.125" customWidth="1"/>
    <col min="4" max="4" width="14.875" customWidth="1"/>
    <col min="5" max="5" width="15.125" customWidth="1"/>
    <col min="6" max="6" width="15.875" customWidth="1"/>
    <col min="7" max="7" width="19.625" customWidth="1"/>
    <col min="8" max="8" width="14.5" customWidth="1"/>
    <col min="9" max="9" width="15.125" customWidth="1"/>
    <col min="10" max="10" width="11.125" customWidth="1"/>
    <col min="11" max="11" width="11.375" customWidth="1"/>
    <col min="12" max="14" width="10.25" customWidth="1"/>
    <col min="17" max="18" width="11.25" customWidth="1"/>
    <col min="19" max="19" width="13.125" customWidth="1"/>
  </cols>
  <sheetData>
    <row r="1" spans="1:10" ht="14.25" customHeight="1">
      <c r="A1" s="136" t="s">
        <v>513</v>
      </c>
      <c r="B1" s="137"/>
      <c r="C1" s="137"/>
      <c r="D1" s="137"/>
      <c r="E1" s="137"/>
      <c r="F1" s="137"/>
      <c r="G1" s="137"/>
    </row>
    <row r="2" spans="1:10" ht="14.25">
      <c r="A2" s="4" t="s">
        <v>1</v>
      </c>
      <c r="B2" s="4" t="s">
        <v>2</v>
      </c>
      <c r="C2" s="4" t="s">
        <v>3</v>
      </c>
      <c r="D2" s="4" t="s">
        <v>4</v>
      </c>
      <c r="E2" s="4" t="s">
        <v>5</v>
      </c>
      <c r="F2" s="4" t="s">
        <v>6</v>
      </c>
      <c r="G2" s="4" t="s">
        <v>7</v>
      </c>
    </row>
    <row r="3" spans="1:10" ht="14.25">
      <c r="A3" s="5" t="s">
        <v>9</v>
      </c>
      <c r="B3" s="17">
        <v>500.51</v>
      </c>
      <c r="C3" s="17">
        <v>589.30999999999995</v>
      </c>
      <c r="D3" s="7">
        <f t="shared" ref="D3:D7" si="0">(C3-B3)/B3</f>
        <v>0.17741903258676101</v>
      </c>
      <c r="E3" s="7">
        <f>B3/(B3+B4+B5)</f>
        <v>0.246431613516295</v>
      </c>
      <c r="F3" s="7">
        <f>C3/(C3+C4+C5)</f>
        <v>0.116817650207148</v>
      </c>
      <c r="G3" s="7">
        <f>F3-E3</f>
        <v>-0.12961396330914701</v>
      </c>
    </row>
    <row r="4" spans="1:10" ht="14.25">
      <c r="A4" s="8" t="s">
        <v>11</v>
      </c>
      <c r="B4" s="17">
        <v>1215.75</v>
      </c>
      <c r="C4" s="17">
        <v>4196.3900000000003</v>
      </c>
      <c r="D4" s="7">
        <f t="shared" si="0"/>
        <v>2.4516882582767798</v>
      </c>
      <c r="E4" s="7">
        <f>B4/(B4+B5+B3)</f>
        <v>0.59858790859810096</v>
      </c>
      <c r="F4" s="7">
        <f>C4/(C3+C4+C5)</f>
        <v>0.831841338434396</v>
      </c>
      <c r="G4" s="7">
        <f>F4-E4</f>
        <v>0.23325342983629499</v>
      </c>
    </row>
    <row r="5" spans="1:10" ht="14.25">
      <c r="A5" s="8" t="s">
        <v>12</v>
      </c>
      <c r="B5" s="17">
        <v>314.77</v>
      </c>
      <c r="C5" s="17">
        <v>259</v>
      </c>
      <c r="D5" s="7">
        <f t="shared" si="0"/>
        <v>-0.17717698637100099</v>
      </c>
      <c r="E5" s="13">
        <f>B5/(B5+B4+B3)</f>
        <v>0.15498047788560501</v>
      </c>
      <c r="F5" s="13">
        <f>C5/(C3+C4+C5)</f>
        <v>5.1341011358455403E-2</v>
      </c>
      <c r="G5" s="13">
        <f>F5-E5</f>
        <v>-0.10363946652715</v>
      </c>
    </row>
    <row r="6" spans="1:10" ht="29.65" customHeight="1">
      <c r="A6" s="8" t="s">
        <v>13</v>
      </c>
      <c r="B6" s="18">
        <v>178.38</v>
      </c>
      <c r="C6" s="18">
        <v>209.61</v>
      </c>
      <c r="D6" s="7">
        <f t="shared" si="0"/>
        <v>0.175075681130172</v>
      </c>
      <c r="E6" s="249" t="s">
        <v>514</v>
      </c>
      <c r="F6" s="250"/>
      <c r="G6" s="250"/>
    </row>
    <row r="7" spans="1:10" ht="42.75" customHeight="1">
      <c r="A7" s="19" t="s">
        <v>14</v>
      </c>
      <c r="B7" s="20">
        <v>168.21</v>
      </c>
      <c r="C7" s="21">
        <v>189.71</v>
      </c>
      <c r="D7" s="7">
        <f t="shared" si="0"/>
        <v>0.12781641995125101</v>
      </c>
      <c r="E7" s="250"/>
      <c r="F7" s="250"/>
      <c r="G7" s="250"/>
    </row>
    <row r="10" spans="1:10" ht="14.25">
      <c r="A10" s="141" t="s">
        <v>515</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1199252</v>
      </c>
      <c r="D12" s="26">
        <v>1169848</v>
      </c>
      <c r="E12" s="27">
        <f t="shared" ref="E12:E18" si="1">(C12-D12)/D12</f>
        <v>2.5134889318954301E-2</v>
      </c>
      <c r="F12" s="28">
        <f t="shared" ref="F12:F18" si="2">C12/2100000</f>
        <v>0.571072380952381</v>
      </c>
      <c r="G12" s="228" t="s">
        <v>516</v>
      </c>
      <c r="H12" s="254"/>
      <c r="I12" s="254"/>
      <c r="J12" s="255"/>
    </row>
    <row r="13" spans="1:10" ht="14.25">
      <c r="A13" s="164"/>
      <c r="B13" s="25" t="s">
        <v>25</v>
      </c>
      <c r="C13" s="26">
        <v>55741</v>
      </c>
      <c r="D13" s="26">
        <v>41011</v>
      </c>
      <c r="E13" s="27">
        <f t="shared" si="1"/>
        <v>0.35917192948233401</v>
      </c>
      <c r="F13" s="28">
        <f t="shared" si="2"/>
        <v>2.6543333333333301E-2</v>
      </c>
      <c r="G13" s="256"/>
      <c r="H13" s="257"/>
      <c r="I13" s="257"/>
      <c r="J13" s="258"/>
    </row>
    <row r="14" spans="1:10" ht="53.1" customHeight="1">
      <c r="A14" s="164" t="s">
        <v>26</v>
      </c>
      <c r="B14" s="25" t="s">
        <v>27</v>
      </c>
      <c r="C14" s="26">
        <v>1090674.53</v>
      </c>
      <c r="D14" s="26">
        <v>979793.56</v>
      </c>
      <c r="E14" s="27">
        <f t="shared" si="1"/>
        <v>0.113167686058275</v>
      </c>
      <c r="F14" s="28">
        <f t="shared" si="2"/>
        <v>0.51936882380952398</v>
      </c>
      <c r="G14" s="146" t="s">
        <v>517</v>
      </c>
      <c r="H14" s="147"/>
      <c r="I14" s="147"/>
      <c r="J14" s="147"/>
    </row>
    <row r="15" spans="1:10" ht="32.450000000000003" customHeight="1">
      <c r="A15" s="164"/>
      <c r="B15" s="25" t="s">
        <v>29</v>
      </c>
      <c r="C15" s="26">
        <v>299424.8</v>
      </c>
      <c r="D15" s="26">
        <v>197769.81</v>
      </c>
      <c r="E15" s="27">
        <f t="shared" si="1"/>
        <v>0.51400661203042097</v>
      </c>
      <c r="F15" s="28">
        <f t="shared" si="2"/>
        <v>0.14258323809523801</v>
      </c>
      <c r="G15" s="146" t="s">
        <v>518</v>
      </c>
      <c r="H15" s="147"/>
      <c r="I15" s="147"/>
      <c r="J15" s="147"/>
    </row>
    <row r="16" spans="1:10" ht="14.25">
      <c r="A16" s="164" t="s">
        <v>31</v>
      </c>
      <c r="B16" s="25" t="s">
        <v>34</v>
      </c>
      <c r="C16" s="26">
        <v>14852.35</v>
      </c>
      <c r="D16" s="26">
        <v>0</v>
      </c>
      <c r="E16" s="27" t="e">
        <f t="shared" si="1"/>
        <v>#DIV/0!</v>
      </c>
      <c r="F16" s="28">
        <f t="shared" si="2"/>
        <v>7.0725476190476198E-3</v>
      </c>
      <c r="G16" s="195" t="s">
        <v>519</v>
      </c>
      <c r="H16" s="176"/>
      <c r="I16" s="176"/>
      <c r="J16" s="177"/>
    </row>
    <row r="17" spans="1:17" ht="14.25">
      <c r="A17" s="164"/>
      <c r="B17" s="25" t="s">
        <v>36</v>
      </c>
      <c r="C17" s="26">
        <v>22458</v>
      </c>
      <c r="D17" s="26">
        <v>32195</v>
      </c>
      <c r="E17" s="27">
        <f t="shared" si="1"/>
        <v>-0.30243826681161701</v>
      </c>
      <c r="F17" s="28">
        <f t="shared" si="2"/>
        <v>1.06942857142857E-2</v>
      </c>
      <c r="G17" s="195"/>
      <c r="H17" s="176"/>
      <c r="I17" s="176"/>
      <c r="J17" s="177"/>
    </row>
    <row r="18" spans="1:17" ht="30.75" customHeight="1">
      <c r="A18" s="164"/>
      <c r="B18" s="25" t="s">
        <v>37</v>
      </c>
      <c r="C18" s="26">
        <v>136000</v>
      </c>
      <c r="D18" s="26">
        <v>175000</v>
      </c>
      <c r="E18" s="27">
        <f t="shared" si="1"/>
        <v>-0.222857142857143</v>
      </c>
      <c r="F18" s="28">
        <f t="shared" si="2"/>
        <v>6.4761904761904798E-2</v>
      </c>
      <c r="G18" s="150" t="s">
        <v>520</v>
      </c>
      <c r="H18" s="161"/>
      <c r="I18" s="161"/>
      <c r="J18" s="161"/>
    </row>
    <row r="19" spans="1:17" ht="14.25">
      <c r="C19" s="30"/>
      <c r="D19" s="30"/>
      <c r="E19" s="31"/>
    </row>
    <row r="23" spans="1:17" ht="14.25">
      <c r="A23" s="251" t="s">
        <v>521</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289</v>
      </c>
      <c r="E24" s="32" t="s">
        <v>522</v>
      </c>
      <c r="F24" s="32" t="s">
        <v>129</v>
      </c>
      <c r="G24" s="32" t="s">
        <v>19</v>
      </c>
      <c r="H24" s="32" t="s">
        <v>20</v>
      </c>
      <c r="I24" s="153" t="s">
        <v>21</v>
      </c>
      <c r="J24" s="153"/>
      <c r="K24" s="153"/>
      <c r="L24" s="32" t="s">
        <v>289</v>
      </c>
      <c r="M24" s="32" t="s">
        <v>290</v>
      </c>
      <c r="N24" s="32" t="s">
        <v>291</v>
      </c>
      <c r="O24" s="153" t="s">
        <v>292</v>
      </c>
      <c r="P24" s="153"/>
      <c r="Q24" s="153"/>
    </row>
    <row r="25" spans="1:17" ht="35.65" customHeight="1">
      <c r="A25" s="212" t="s">
        <v>44</v>
      </c>
      <c r="B25" s="128" t="s">
        <v>45</v>
      </c>
      <c r="C25" s="34" t="s">
        <v>46</v>
      </c>
      <c r="D25" s="35">
        <v>1100000</v>
      </c>
      <c r="E25" s="36">
        <v>403854</v>
      </c>
      <c r="F25" s="36">
        <v>228401</v>
      </c>
      <c r="G25" s="37">
        <f t="shared" ref="G25:G28" si="3">(E25-F25)/F25</f>
        <v>0.76817964895074897</v>
      </c>
      <c r="H25" s="38">
        <f>E25/2100000</f>
        <v>0.19231142857142899</v>
      </c>
      <c r="I25" s="189" t="s">
        <v>523</v>
      </c>
      <c r="J25" s="190"/>
      <c r="K25" s="190"/>
      <c r="L25" s="39">
        <v>1100000</v>
      </c>
      <c r="M25" s="39">
        <v>1300000</v>
      </c>
      <c r="N25" s="39">
        <v>1300000</v>
      </c>
      <c r="O25" s="150" t="s">
        <v>364</v>
      </c>
      <c r="P25" s="150"/>
      <c r="Q25" s="150"/>
    </row>
    <row r="26" spans="1:17" ht="27.95" customHeight="1">
      <c r="A26" s="213"/>
      <c r="B26" s="131" t="s">
        <v>48</v>
      </c>
      <c r="C26" s="41" t="s">
        <v>49</v>
      </c>
      <c r="D26" s="35">
        <v>500000</v>
      </c>
      <c r="E26" s="76">
        <v>362783</v>
      </c>
      <c r="F26" s="76">
        <v>60255</v>
      </c>
      <c r="G26" s="78">
        <f t="shared" si="3"/>
        <v>5.0207949547755399</v>
      </c>
      <c r="H26" s="38">
        <f t="shared" ref="H26:H44" si="4">E26/2100000</f>
        <v>0.17275380952381</v>
      </c>
      <c r="I26" s="192"/>
      <c r="J26" s="193"/>
      <c r="K26" s="193"/>
      <c r="L26" s="39">
        <v>500000</v>
      </c>
      <c r="M26" s="39">
        <v>850000</v>
      </c>
      <c r="N26" s="39">
        <v>750000</v>
      </c>
      <c r="O26" s="150"/>
      <c r="P26" s="150"/>
      <c r="Q26" s="150"/>
    </row>
    <row r="27" spans="1:17" ht="26.85" customHeight="1">
      <c r="A27" s="213"/>
      <c r="B27" s="131" t="s">
        <v>50</v>
      </c>
      <c r="C27" s="41" t="s">
        <v>51</v>
      </c>
      <c r="D27" s="35">
        <v>450000</v>
      </c>
      <c r="E27" s="76">
        <v>189723</v>
      </c>
      <c r="F27" s="76">
        <v>360663</v>
      </c>
      <c r="G27" s="78">
        <f t="shared" si="3"/>
        <v>-0.47396045615990601</v>
      </c>
      <c r="H27" s="38">
        <f t="shared" si="4"/>
        <v>9.0344285714285696E-2</v>
      </c>
      <c r="I27" s="189" t="s">
        <v>524</v>
      </c>
      <c r="J27" s="190"/>
      <c r="K27" s="190"/>
      <c r="L27" s="39">
        <v>450000</v>
      </c>
      <c r="M27" s="39">
        <v>550000</v>
      </c>
      <c r="N27" s="39">
        <v>500000</v>
      </c>
      <c r="O27" s="150"/>
      <c r="P27" s="150"/>
      <c r="Q27" s="150"/>
    </row>
    <row r="28" spans="1:17" ht="14.25">
      <c r="A28" s="213"/>
      <c r="B28" s="131" t="s">
        <v>53</v>
      </c>
      <c r="C28" s="41" t="s">
        <v>54</v>
      </c>
      <c r="D28" s="35">
        <v>400000</v>
      </c>
      <c r="E28" s="76">
        <v>51792</v>
      </c>
      <c r="F28" s="76">
        <v>84459</v>
      </c>
      <c r="G28" s="78">
        <f t="shared" si="3"/>
        <v>-0.38677938407984902</v>
      </c>
      <c r="H28" s="38">
        <f t="shared" si="4"/>
        <v>2.4662857142857101E-2</v>
      </c>
      <c r="I28" s="192"/>
      <c r="J28" s="193"/>
      <c r="K28" s="193"/>
      <c r="L28" s="39">
        <v>400000</v>
      </c>
      <c r="M28" s="39">
        <v>600000</v>
      </c>
      <c r="N28" s="39">
        <v>550000</v>
      </c>
      <c r="O28" s="150"/>
      <c r="P28" s="150"/>
      <c r="Q28" s="150"/>
    </row>
    <row r="29" spans="1:17" ht="14.25">
      <c r="A29" s="213"/>
      <c r="B29" s="129" t="s">
        <v>55</v>
      </c>
      <c r="C29" s="43" t="s">
        <v>56</v>
      </c>
      <c r="D29" s="35">
        <v>100000</v>
      </c>
      <c r="E29" s="36">
        <v>6702</v>
      </c>
      <c r="F29" s="29" t="s">
        <v>57</v>
      </c>
      <c r="G29" s="37" t="s">
        <v>57</v>
      </c>
      <c r="H29" s="38">
        <f t="shared" si="4"/>
        <v>3.1914285714285699E-3</v>
      </c>
      <c r="I29" s="189" t="s">
        <v>525</v>
      </c>
      <c r="J29" s="190"/>
      <c r="K29" s="190"/>
      <c r="L29" s="39">
        <v>100000</v>
      </c>
      <c r="M29" s="39">
        <v>180000</v>
      </c>
      <c r="N29" s="39">
        <v>150000</v>
      </c>
      <c r="O29" s="150"/>
      <c r="P29" s="150"/>
      <c r="Q29" s="150"/>
    </row>
    <row r="30" spans="1:17" ht="14.25">
      <c r="A30" s="213"/>
      <c r="B30" s="130" t="s">
        <v>137</v>
      </c>
      <c r="C30" s="43" t="s">
        <v>138</v>
      </c>
      <c r="D30" s="35">
        <v>30000</v>
      </c>
      <c r="E30" s="36">
        <v>12927</v>
      </c>
      <c r="F30" s="29" t="s">
        <v>57</v>
      </c>
      <c r="G30" s="37" t="s">
        <v>57</v>
      </c>
      <c r="H30" s="38">
        <f t="shared" si="4"/>
        <v>6.1557142857142904E-3</v>
      </c>
      <c r="I30" s="195"/>
      <c r="J30" s="176"/>
      <c r="K30" s="176"/>
      <c r="L30" s="39">
        <v>30000</v>
      </c>
      <c r="M30" s="39">
        <v>60000</v>
      </c>
      <c r="N30" s="39">
        <v>50000</v>
      </c>
      <c r="O30" s="150"/>
      <c r="P30" s="150"/>
      <c r="Q30" s="150"/>
    </row>
    <row r="31" spans="1:17" ht="42.2" customHeight="1">
      <c r="A31" s="168"/>
      <c r="B31" s="129" t="s">
        <v>232</v>
      </c>
      <c r="C31" s="43" t="s">
        <v>233</v>
      </c>
      <c r="D31" s="35">
        <v>100000</v>
      </c>
      <c r="E31" s="36" t="s">
        <v>57</v>
      </c>
      <c r="F31" s="29" t="s">
        <v>57</v>
      </c>
      <c r="G31" s="37" t="s">
        <v>57</v>
      </c>
      <c r="H31" s="38" t="e">
        <f t="shared" si="4"/>
        <v>#VALUE!</v>
      </c>
      <c r="I31" s="192"/>
      <c r="J31" s="193"/>
      <c r="K31" s="193"/>
      <c r="L31" s="39">
        <v>100000</v>
      </c>
      <c r="M31" s="39">
        <v>300000</v>
      </c>
      <c r="N31" s="39">
        <v>250000</v>
      </c>
      <c r="O31" s="150"/>
      <c r="P31" s="150"/>
      <c r="Q31" s="150"/>
    </row>
    <row r="32" spans="1:17" ht="14.25">
      <c r="A32" s="165" t="s">
        <v>59</v>
      </c>
      <c r="B32" s="129" t="s">
        <v>60</v>
      </c>
      <c r="C32" s="43" t="s">
        <v>61</v>
      </c>
      <c r="D32" s="35">
        <v>70000</v>
      </c>
      <c r="E32" s="36">
        <v>19368</v>
      </c>
      <c r="F32" s="26">
        <v>25733</v>
      </c>
      <c r="G32" s="37">
        <f t="shared" ref="G32:G39" si="5">(E32-F32)/F32</f>
        <v>-0.247347763572067</v>
      </c>
      <c r="H32" s="38">
        <f t="shared" si="4"/>
        <v>9.2228571428571403E-3</v>
      </c>
      <c r="I32" s="189" t="s">
        <v>526</v>
      </c>
      <c r="J32" s="190"/>
      <c r="K32" s="190"/>
      <c r="L32" s="39">
        <v>70000</v>
      </c>
      <c r="M32" s="39">
        <v>100000</v>
      </c>
      <c r="N32" s="39">
        <v>90000</v>
      </c>
      <c r="O32" s="150" t="s">
        <v>298</v>
      </c>
      <c r="P32" s="150"/>
      <c r="Q32" s="150"/>
    </row>
    <row r="33" spans="1:19" ht="14.25">
      <c r="A33" s="165"/>
      <c r="B33" s="131" t="s">
        <v>63</v>
      </c>
      <c r="C33" s="41" t="s">
        <v>64</v>
      </c>
      <c r="D33" s="35">
        <v>15000</v>
      </c>
      <c r="E33" s="76">
        <v>3554</v>
      </c>
      <c r="F33" s="57">
        <v>7744</v>
      </c>
      <c r="G33" s="78">
        <f t="shared" si="5"/>
        <v>-0.54106404958677701</v>
      </c>
      <c r="H33" s="38">
        <f t="shared" si="4"/>
        <v>1.69238095238095E-3</v>
      </c>
      <c r="I33" s="195"/>
      <c r="J33" s="176"/>
      <c r="K33" s="176"/>
      <c r="L33" s="39">
        <v>15000</v>
      </c>
      <c r="M33" s="39">
        <v>35000</v>
      </c>
      <c r="N33" s="39">
        <v>30000</v>
      </c>
      <c r="O33" s="150"/>
      <c r="P33" s="150"/>
      <c r="Q33" s="150"/>
    </row>
    <row r="34" spans="1:19" ht="14.25">
      <c r="A34" s="165"/>
      <c r="B34" s="131" t="s">
        <v>65</v>
      </c>
      <c r="C34" s="41" t="s">
        <v>66</v>
      </c>
      <c r="D34" s="35">
        <v>90000</v>
      </c>
      <c r="E34" s="76">
        <v>32007</v>
      </c>
      <c r="F34" s="57">
        <v>27187</v>
      </c>
      <c r="G34" s="78">
        <f t="shared" si="5"/>
        <v>0.17729061683892999</v>
      </c>
      <c r="H34" s="38">
        <f t="shared" si="4"/>
        <v>1.52414285714286E-2</v>
      </c>
      <c r="I34" s="195"/>
      <c r="J34" s="176"/>
      <c r="K34" s="176"/>
      <c r="L34" s="39">
        <v>90000</v>
      </c>
      <c r="M34" s="39">
        <v>60000</v>
      </c>
      <c r="N34" s="39">
        <v>50000</v>
      </c>
      <c r="O34" s="150"/>
      <c r="P34" s="150"/>
      <c r="Q34" s="150"/>
    </row>
    <row r="35" spans="1:19" ht="14.25">
      <c r="A35" s="165"/>
      <c r="B35" s="131" t="s">
        <v>67</v>
      </c>
      <c r="C35" s="41" t="s">
        <v>68</v>
      </c>
      <c r="D35" s="35">
        <v>15000</v>
      </c>
      <c r="E35" s="76">
        <v>5890</v>
      </c>
      <c r="F35" s="57">
        <v>8224</v>
      </c>
      <c r="G35" s="78">
        <f t="shared" si="5"/>
        <v>-0.28380350194552501</v>
      </c>
      <c r="H35" s="38">
        <f t="shared" si="4"/>
        <v>2.8047619047619002E-3</v>
      </c>
      <c r="I35" s="195"/>
      <c r="J35" s="176"/>
      <c r="K35" s="176"/>
      <c r="L35" s="39">
        <v>15000</v>
      </c>
      <c r="M35" s="39">
        <v>25000</v>
      </c>
      <c r="N35" s="39">
        <v>20000</v>
      </c>
      <c r="O35" s="150"/>
      <c r="P35" s="150"/>
      <c r="Q35" s="150"/>
    </row>
    <row r="36" spans="1:19" ht="14.25">
      <c r="A36" s="165"/>
      <c r="B36" s="129" t="s">
        <v>69</v>
      </c>
      <c r="C36" s="43" t="s">
        <v>70</v>
      </c>
      <c r="D36" s="35">
        <v>75000</v>
      </c>
      <c r="E36" s="36">
        <v>30911</v>
      </c>
      <c r="F36" s="26">
        <v>37079</v>
      </c>
      <c r="G36" s="37">
        <f t="shared" si="5"/>
        <v>-0.16634752825049201</v>
      </c>
      <c r="H36" s="38">
        <f t="shared" si="4"/>
        <v>1.47195238095238E-2</v>
      </c>
      <c r="I36" s="195"/>
      <c r="J36" s="176"/>
      <c r="K36" s="176"/>
      <c r="L36" s="39">
        <v>75000</v>
      </c>
      <c r="M36" s="39">
        <v>100000</v>
      </c>
      <c r="N36" s="39">
        <v>90000</v>
      </c>
      <c r="O36" s="150"/>
      <c r="P36" s="150"/>
      <c r="Q36" s="150"/>
    </row>
    <row r="37" spans="1:19" ht="14.25">
      <c r="A37" s="165"/>
      <c r="B37" s="131" t="s">
        <v>72</v>
      </c>
      <c r="C37" s="41" t="s">
        <v>73</v>
      </c>
      <c r="D37" s="35">
        <v>30000</v>
      </c>
      <c r="E37" s="76">
        <v>10333</v>
      </c>
      <c r="F37" s="57">
        <v>9385</v>
      </c>
      <c r="G37" s="78">
        <f t="shared" si="5"/>
        <v>0.101012253596164</v>
      </c>
      <c r="H37" s="38">
        <f t="shared" si="4"/>
        <v>4.9204761904761904E-3</v>
      </c>
      <c r="I37" s="192"/>
      <c r="J37" s="193"/>
      <c r="K37" s="193"/>
      <c r="L37" s="39">
        <v>30000</v>
      </c>
      <c r="M37" s="39">
        <v>50000</v>
      </c>
      <c r="N37" s="39">
        <v>40000</v>
      </c>
      <c r="O37" s="150"/>
      <c r="P37" s="150"/>
      <c r="Q37" s="150"/>
    </row>
    <row r="38" spans="1:19" ht="21.6" customHeight="1">
      <c r="A38" s="167" t="s">
        <v>74</v>
      </c>
      <c r="B38" s="46">
        <v>100127194542</v>
      </c>
      <c r="C38" s="41" t="s">
        <v>75</v>
      </c>
      <c r="D38" s="35">
        <v>35000</v>
      </c>
      <c r="E38" s="76">
        <v>16080</v>
      </c>
      <c r="F38" s="57">
        <v>8406</v>
      </c>
      <c r="G38" s="78">
        <f t="shared" si="5"/>
        <v>0.91291934332619595</v>
      </c>
      <c r="H38" s="38">
        <f t="shared" si="4"/>
        <v>7.6571428571428598E-3</v>
      </c>
      <c r="I38" s="150" t="s">
        <v>527</v>
      </c>
      <c r="J38" s="161"/>
      <c r="K38" s="161"/>
      <c r="L38" s="39">
        <v>35000</v>
      </c>
      <c r="M38" s="39">
        <v>50000</v>
      </c>
      <c r="N38" s="39">
        <v>40000</v>
      </c>
      <c r="O38" s="150" t="s">
        <v>300</v>
      </c>
      <c r="P38" s="150"/>
      <c r="Q38" s="150"/>
    </row>
    <row r="39" spans="1:19" ht="28.7" customHeight="1">
      <c r="A39" s="169"/>
      <c r="B39" s="48">
        <v>100150693764</v>
      </c>
      <c r="C39" s="49" t="s">
        <v>77</v>
      </c>
      <c r="D39" s="35">
        <v>40000</v>
      </c>
      <c r="E39" s="36">
        <v>14886</v>
      </c>
      <c r="F39" s="26">
        <v>22214</v>
      </c>
      <c r="G39" s="37">
        <f t="shared" si="5"/>
        <v>-0.32988205636085299</v>
      </c>
      <c r="H39" s="38">
        <f t="shared" si="4"/>
        <v>7.0885714285714302E-3</v>
      </c>
      <c r="I39" s="161"/>
      <c r="J39" s="161"/>
      <c r="K39" s="161"/>
      <c r="L39" s="39">
        <v>40000</v>
      </c>
      <c r="M39" s="39">
        <v>70000</v>
      </c>
      <c r="N39" s="39">
        <v>60000</v>
      </c>
      <c r="O39" s="150"/>
      <c r="P39" s="150"/>
      <c r="Q39" s="150"/>
    </row>
    <row r="40" spans="1:19" ht="14.25">
      <c r="A40" s="166"/>
      <c r="B40" s="46">
        <v>100325407774</v>
      </c>
      <c r="C40" s="41" t="s">
        <v>301</v>
      </c>
      <c r="D40" s="35">
        <v>15000</v>
      </c>
      <c r="E40" s="76">
        <v>8725</v>
      </c>
      <c r="F40" s="77" t="s">
        <v>57</v>
      </c>
      <c r="G40" s="78" t="s">
        <v>57</v>
      </c>
      <c r="H40" s="38">
        <f t="shared" si="4"/>
        <v>4.1547619047619102E-3</v>
      </c>
      <c r="I40" s="231" t="s">
        <v>302</v>
      </c>
      <c r="J40" s="235"/>
      <c r="K40" s="235"/>
      <c r="L40" s="39">
        <v>15000</v>
      </c>
      <c r="M40" s="39">
        <v>40000</v>
      </c>
      <c r="N40" s="39">
        <v>30000</v>
      </c>
      <c r="O40" s="242" t="s">
        <v>240</v>
      </c>
      <c r="P40" s="242"/>
      <c r="Q40" s="242"/>
    </row>
    <row r="41" spans="1:19" ht="14.25">
      <c r="A41" s="164" t="s">
        <v>78</v>
      </c>
      <c r="B41" s="129" t="s">
        <v>79</v>
      </c>
      <c r="C41" s="43" t="s">
        <v>80</v>
      </c>
      <c r="D41" s="35">
        <v>30000</v>
      </c>
      <c r="E41" s="36">
        <v>9396</v>
      </c>
      <c r="F41" s="77" t="s">
        <v>57</v>
      </c>
      <c r="G41" s="37" t="s">
        <v>57</v>
      </c>
      <c r="H41" s="38">
        <f t="shared" si="4"/>
        <v>4.4742857142857102E-3</v>
      </c>
      <c r="I41" s="189" t="s">
        <v>146</v>
      </c>
      <c r="J41" s="190"/>
      <c r="K41" s="190"/>
      <c r="L41" s="39">
        <v>30000</v>
      </c>
      <c r="M41" s="39">
        <v>60000</v>
      </c>
      <c r="N41" s="39">
        <v>55000</v>
      </c>
      <c r="O41" s="150" t="s">
        <v>303</v>
      </c>
      <c r="P41" s="150"/>
      <c r="Q41" s="150"/>
    </row>
    <row r="42" spans="1:19" ht="14.25">
      <c r="A42" s="164"/>
      <c r="B42" s="129" t="s">
        <v>82</v>
      </c>
      <c r="C42" s="49" t="s">
        <v>83</v>
      </c>
      <c r="D42" s="35">
        <v>20000</v>
      </c>
      <c r="E42" s="36">
        <v>9334</v>
      </c>
      <c r="F42" s="77" t="s">
        <v>57</v>
      </c>
      <c r="G42" s="37" t="s">
        <v>57</v>
      </c>
      <c r="H42" s="38">
        <f t="shared" si="4"/>
        <v>4.4447619047619001E-3</v>
      </c>
      <c r="I42" s="192"/>
      <c r="J42" s="193"/>
      <c r="K42" s="193"/>
      <c r="L42" s="39">
        <v>20000</v>
      </c>
      <c r="M42" s="39">
        <v>40000</v>
      </c>
      <c r="N42" s="39">
        <v>35000</v>
      </c>
      <c r="O42" s="150"/>
      <c r="P42" s="150"/>
      <c r="Q42" s="150"/>
    </row>
    <row r="43" spans="1:19" ht="14.25">
      <c r="A43" s="164"/>
      <c r="B43" s="48">
        <v>100230489825</v>
      </c>
      <c r="C43" s="43" t="s">
        <v>84</v>
      </c>
      <c r="D43" s="35">
        <v>150000</v>
      </c>
      <c r="E43" s="36">
        <v>85636</v>
      </c>
      <c r="F43" s="77" t="s">
        <v>57</v>
      </c>
      <c r="G43" s="37" t="s">
        <v>57</v>
      </c>
      <c r="H43" s="38">
        <f t="shared" si="4"/>
        <v>4.0779047619047597E-2</v>
      </c>
      <c r="I43" s="189" t="s">
        <v>528</v>
      </c>
      <c r="J43" s="190"/>
      <c r="K43" s="190"/>
      <c r="L43" s="39">
        <v>150000</v>
      </c>
      <c r="M43" s="39">
        <v>250000</v>
      </c>
      <c r="N43" s="39">
        <v>200000</v>
      </c>
      <c r="O43" s="150"/>
      <c r="P43" s="150"/>
      <c r="Q43" s="150"/>
    </row>
    <row r="44" spans="1:19" ht="14.25">
      <c r="A44" s="164"/>
      <c r="B44" s="48">
        <v>100307579062</v>
      </c>
      <c r="C44" s="49" t="s">
        <v>85</v>
      </c>
      <c r="D44" s="35">
        <v>40000</v>
      </c>
      <c r="E44" s="36">
        <v>18060</v>
      </c>
      <c r="F44" s="77" t="s">
        <v>57</v>
      </c>
      <c r="G44" s="37" t="s">
        <v>57</v>
      </c>
      <c r="H44" s="38">
        <f t="shared" si="4"/>
        <v>8.6E-3</v>
      </c>
      <c r="I44" s="192"/>
      <c r="J44" s="193"/>
      <c r="K44" s="193"/>
      <c r="L44" s="39">
        <v>40000</v>
      </c>
      <c r="M44" s="39">
        <v>70000</v>
      </c>
      <c r="N44" s="39">
        <v>50000</v>
      </c>
      <c r="O44" s="150"/>
      <c r="P44" s="150"/>
      <c r="Q44" s="150"/>
    </row>
    <row r="45" spans="1:19" ht="14.25">
      <c r="A45" s="52"/>
      <c r="B45" s="53"/>
      <c r="C45" s="53"/>
      <c r="D45" s="52"/>
      <c r="E45" s="53"/>
      <c r="F45" s="53"/>
      <c r="G45" s="53"/>
      <c r="H45" s="53"/>
      <c r="I45" s="53"/>
      <c r="J45" s="53"/>
      <c r="K45" s="53"/>
      <c r="L45" s="53"/>
      <c r="M45" s="53"/>
      <c r="N45" s="53"/>
      <c r="O45" s="53"/>
    </row>
    <row r="46" spans="1:19" ht="14.25">
      <c r="A46" s="52"/>
      <c r="B46" s="53"/>
      <c r="C46" s="53"/>
      <c r="D46" s="52"/>
      <c r="E46" s="53"/>
      <c r="F46" s="53"/>
      <c r="G46" s="53"/>
      <c r="H46" s="53"/>
      <c r="I46" s="53"/>
      <c r="J46" s="53"/>
      <c r="K46" s="53"/>
      <c r="L46" s="53"/>
      <c r="M46" s="53"/>
      <c r="N46" s="53"/>
      <c r="O46" s="53"/>
    </row>
    <row r="47" spans="1:19" ht="14.25">
      <c r="A47" s="237" t="s">
        <v>529</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289</v>
      </c>
      <c r="D48" s="54" t="s">
        <v>522</v>
      </c>
      <c r="E48" s="54" t="s">
        <v>129</v>
      </c>
      <c r="F48" s="54" t="s">
        <v>19</v>
      </c>
      <c r="G48" s="54" t="s">
        <v>20</v>
      </c>
      <c r="H48" s="238" t="s">
        <v>21</v>
      </c>
      <c r="I48" s="238"/>
      <c r="J48" s="238"/>
      <c r="K48" s="238"/>
      <c r="L48" s="55" t="s">
        <v>289</v>
      </c>
      <c r="M48" s="55" t="s">
        <v>290</v>
      </c>
      <c r="N48" s="55" t="s">
        <v>291</v>
      </c>
      <c r="O48" s="210" t="s">
        <v>155</v>
      </c>
      <c r="P48" s="210"/>
      <c r="Q48" s="210"/>
      <c r="R48" s="210" t="s">
        <v>307</v>
      </c>
      <c r="S48" s="210"/>
    </row>
    <row r="49" spans="1:19" ht="29.25" customHeight="1">
      <c r="A49" s="164" t="s">
        <v>88</v>
      </c>
      <c r="B49" s="40" t="s">
        <v>89</v>
      </c>
      <c r="C49" s="29" t="s">
        <v>309</v>
      </c>
      <c r="D49" s="57">
        <v>1376900.96</v>
      </c>
      <c r="E49" s="26">
        <v>1162058.76</v>
      </c>
      <c r="F49" s="28">
        <f>(D49-E49)/E49</f>
        <v>0.184880668168622</v>
      </c>
      <c r="G49" s="28">
        <f>D49/2100000</f>
        <v>0.65566712380952397</v>
      </c>
      <c r="H49" s="150" t="s">
        <v>530</v>
      </c>
      <c r="I49" s="150"/>
      <c r="J49" s="150"/>
      <c r="K49" s="150"/>
      <c r="L49" s="29" t="s">
        <v>309</v>
      </c>
      <c r="M49" s="56" t="s">
        <v>310</v>
      </c>
      <c r="N49" s="56" t="s">
        <v>311</v>
      </c>
      <c r="O49" s="231" t="s">
        <v>312</v>
      </c>
      <c r="P49" s="232"/>
      <c r="Q49" s="233"/>
      <c r="R49" s="150" t="s">
        <v>313</v>
      </c>
      <c r="S49" s="161"/>
    </row>
    <row r="50" spans="1:19" ht="28.5" customHeight="1">
      <c r="A50" s="165"/>
      <c r="B50" s="40" t="s">
        <v>91</v>
      </c>
      <c r="C50" s="29" t="s">
        <v>314</v>
      </c>
      <c r="D50" s="26">
        <v>720333.36</v>
      </c>
      <c r="E50" s="26">
        <v>621781.97</v>
      </c>
      <c r="F50" s="28">
        <f>(D50-E50)/E50</f>
        <v>0.15849830769457701</v>
      </c>
      <c r="G50" s="28">
        <f>D50/2100000</f>
        <v>0.34301588571428598</v>
      </c>
      <c r="H50" s="150"/>
      <c r="I50" s="150"/>
      <c r="J50" s="150"/>
      <c r="K50" s="150"/>
      <c r="L50" s="29" t="s">
        <v>314</v>
      </c>
      <c r="M50" s="56" t="s">
        <v>252</v>
      </c>
      <c r="N50" s="56" t="s">
        <v>247</v>
      </c>
      <c r="O50" s="231" t="s">
        <v>315</v>
      </c>
      <c r="P50" s="232"/>
      <c r="Q50" s="233"/>
      <c r="R50" s="150" t="s">
        <v>316</v>
      </c>
      <c r="S50" s="161"/>
    </row>
    <row r="51" spans="1:19" ht="30.75" customHeight="1">
      <c r="A51" s="164" t="s">
        <v>92</v>
      </c>
      <c r="B51" s="58" t="s">
        <v>93</v>
      </c>
      <c r="C51" s="29" t="s">
        <v>318</v>
      </c>
      <c r="D51" s="57">
        <v>221437.31</v>
      </c>
      <c r="E51" s="26">
        <v>139763.42000000001</v>
      </c>
      <c r="F51" s="28">
        <f>(D51-E51)/E51</f>
        <v>0.58437243450396403</v>
      </c>
      <c r="G51" s="28">
        <f>D51/2100000</f>
        <v>0.105446338095238</v>
      </c>
      <c r="H51" s="150" t="s">
        <v>531</v>
      </c>
      <c r="I51" s="161"/>
      <c r="J51" s="161"/>
      <c r="K51" s="161"/>
      <c r="L51" s="29" t="s">
        <v>318</v>
      </c>
      <c r="M51" s="56" t="s">
        <v>319</v>
      </c>
      <c r="N51" s="56" t="s">
        <v>320</v>
      </c>
      <c r="O51" s="231" t="s">
        <v>321</v>
      </c>
      <c r="P51" s="232"/>
      <c r="Q51" s="233"/>
      <c r="R51" s="150" t="s">
        <v>322</v>
      </c>
      <c r="S51" s="161"/>
    </row>
    <row r="52" spans="1:19" ht="30.75" customHeight="1">
      <c r="A52" s="165"/>
      <c r="B52" s="40" t="s">
        <v>95</v>
      </c>
      <c r="C52" s="29" t="s">
        <v>247</v>
      </c>
      <c r="D52" s="57">
        <v>978565</v>
      </c>
      <c r="E52" s="26">
        <v>614358</v>
      </c>
      <c r="F52" s="28">
        <f>(D52-E52)/E52</f>
        <v>0.59282535589997998</v>
      </c>
      <c r="G52" s="28">
        <f>D52/2100000</f>
        <v>0.46598333333333303</v>
      </c>
      <c r="H52" s="150" t="s">
        <v>532</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9"/>
      <c r="B54" s="53"/>
      <c r="C54" s="53"/>
      <c r="D54" s="53"/>
      <c r="E54" s="53"/>
      <c r="F54" s="53"/>
      <c r="G54" s="53"/>
      <c r="H54" s="53"/>
      <c r="I54" s="53"/>
      <c r="J54" s="53"/>
      <c r="K54" s="53"/>
      <c r="L54" s="53"/>
      <c r="M54" s="53"/>
      <c r="N54" s="53"/>
      <c r="O54" s="53"/>
    </row>
    <row r="55" spans="1:19" ht="21" customHeight="1">
      <c r="A55" s="55" t="s">
        <v>533</v>
      </c>
      <c r="B55" s="55" t="s">
        <v>98</v>
      </c>
      <c r="C55" s="55" t="s">
        <v>99</v>
      </c>
      <c r="D55" s="55" t="s">
        <v>100</v>
      </c>
      <c r="E55" s="265" t="s">
        <v>101</v>
      </c>
      <c r="F55" s="266"/>
      <c r="G55" s="210" t="s">
        <v>102</v>
      </c>
      <c r="H55" s="210"/>
      <c r="I55" s="210" t="s">
        <v>21</v>
      </c>
      <c r="J55" s="210"/>
      <c r="K55" s="59"/>
      <c r="L55" s="81"/>
      <c r="M55" s="81"/>
      <c r="N55" s="81"/>
    </row>
    <row r="56" spans="1:19" ht="29.25" customHeight="1">
      <c r="A56" s="25" t="s">
        <v>89</v>
      </c>
      <c r="B56" s="26">
        <v>4464</v>
      </c>
      <c r="C56" s="26">
        <v>419702</v>
      </c>
      <c r="D56" s="60">
        <f t="shared" ref="D56:D60" si="6">C56/B56</f>
        <v>94.019265232974902</v>
      </c>
      <c r="E56" s="283" t="s">
        <v>534</v>
      </c>
      <c r="F56" s="284"/>
      <c r="G56" s="187" t="s">
        <v>535</v>
      </c>
      <c r="H56" s="187"/>
      <c r="I56" s="189" t="s">
        <v>536</v>
      </c>
      <c r="J56" s="191"/>
      <c r="K56" s="1"/>
      <c r="L56" s="82"/>
      <c r="M56" s="44"/>
      <c r="N56" s="44"/>
    </row>
    <row r="57" spans="1:19" ht="24.75" customHeight="1">
      <c r="A57" s="25" t="s">
        <v>19</v>
      </c>
      <c r="B57" s="28">
        <v>0.64</v>
      </c>
      <c r="C57" s="28">
        <v>0.85119999999999996</v>
      </c>
      <c r="D57" s="28">
        <v>0.1288</v>
      </c>
      <c r="E57" s="284"/>
      <c r="F57" s="284"/>
      <c r="G57" s="187"/>
      <c r="H57" s="187"/>
      <c r="I57" s="195"/>
      <c r="J57" s="201"/>
      <c r="K57" s="1"/>
      <c r="L57" s="82"/>
      <c r="M57" s="44"/>
      <c r="N57" s="44"/>
    </row>
    <row r="58" spans="1:19" ht="27.75" customHeight="1">
      <c r="A58" s="25" t="s">
        <v>91</v>
      </c>
      <c r="B58" s="26">
        <v>2712</v>
      </c>
      <c r="C58" s="26">
        <v>248660</v>
      </c>
      <c r="D58" s="60">
        <f t="shared" si="6"/>
        <v>91.688790560472</v>
      </c>
      <c r="E58" s="285" t="s">
        <v>537</v>
      </c>
      <c r="F58" s="286"/>
      <c r="G58" s="187" t="s">
        <v>538</v>
      </c>
      <c r="H58" s="187"/>
      <c r="I58" s="195"/>
      <c r="J58" s="201"/>
      <c r="K58" s="1"/>
      <c r="L58" s="82"/>
      <c r="M58" s="44"/>
      <c r="N58" s="44"/>
    </row>
    <row r="59" spans="1:19" ht="27" customHeight="1">
      <c r="A59" s="25" t="s">
        <v>19</v>
      </c>
      <c r="B59" s="28">
        <v>0.67</v>
      </c>
      <c r="C59" s="28">
        <v>0.71740000000000004</v>
      </c>
      <c r="D59" s="28">
        <v>2.8400000000000002E-2</v>
      </c>
      <c r="E59" s="286"/>
      <c r="F59" s="286"/>
      <c r="G59" s="187"/>
      <c r="H59" s="187"/>
      <c r="I59" s="192"/>
      <c r="J59" s="194"/>
      <c r="K59" s="1"/>
      <c r="L59" s="82"/>
      <c r="M59" s="44"/>
      <c r="N59" s="44"/>
    </row>
    <row r="60" spans="1:19" ht="15" customHeight="1">
      <c r="A60" s="25" t="s">
        <v>97</v>
      </c>
      <c r="B60" s="26">
        <v>7176</v>
      </c>
      <c r="C60" s="26">
        <f>C56+C58</f>
        <v>668362</v>
      </c>
      <c r="D60" s="60">
        <f t="shared" si="6"/>
        <v>93.138517279821599</v>
      </c>
      <c r="E60" s="273" t="s">
        <v>539</v>
      </c>
      <c r="F60" s="273"/>
      <c r="G60" s="273"/>
      <c r="H60" s="273"/>
      <c r="I60" s="273"/>
      <c r="J60" s="273"/>
      <c r="K60" s="82"/>
      <c r="L60" s="82"/>
      <c r="M60" s="44"/>
      <c r="N60" s="44"/>
    </row>
    <row r="61" spans="1:19" ht="15" customHeight="1">
      <c r="A61" s="42" t="s">
        <v>19</v>
      </c>
      <c r="B61" s="28">
        <v>0.6512</v>
      </c>
      <c r="C61" s="28">
        <v>0.79900000000000004</v>
      </c>
      <c r="D61" s="28">
        <v>8.9499999999999996E-2</v>
      </c>
      <c r="E61" s="273"/>
      <c r="F61" s="273"/>
      <c r="G61" s="273"/>
      <c r="H61" s="273"/>
      <c r="I61" s="273"/>
      <c r="J61" s="273"/>
      <c r="K61" s="82"/>
      <c r="L61" s="82"/>
      <c r="M61" s="44"/>
      <c r="N61" s="44"/>
    </row>
    <row r="64" spans="1:19" ht="14.25">
      <c r="A64" s="165" t="s">
        <v>109</v>
      </c>
      <c r="B64" s="62" t="s">
        <v>110</v>
      </c>
      <c r="C64" s="62" t="s">
        <v>111</v>
      </c>
      <c r="D64" s="62" t="s">
        <v>112</v>
      </c>
      <c r="E64" s="62" t="s">
        <v>113</v>
      </c>
      <c r="F64" s="62" t="s">
        <v>262</v>
      </c>
      <c r="G64" s="62" t="s">
        <v>263</v>
      </c>
    </row>
    <row r="65" spans="1:7" ht="14.25">
      <c r="A65" s="165"/>
      <c r="B65" s="25" t="s">
        <v>540</v>
      </c>
      <c r="C65" s="42">
        <v>1177</v>
      </c>
      <c r="D65" s="42">
        <v>1186</v>
      </c>
      <c r="E65" s="42">
        <v>22458</v>
      </c>
      <c r="F65" s="212">
        <v>5</v>
      </c>
      <c r="G65" s="212">
        <v>208</v>
      </c>
    </row>
    <row r="66" spans="1:7" ht="14.25">
      <c r="A66" s="165"/>
      <c r="B66" s="42" t="s">
        <v>117</v>
      </c>
      <c r="C66" s="42">
        <v>198</v>
      </c>
      <c r="D66" s="42">
        <v>212</v>
      </c>
      <c r="E66" s="42">
        <v>11312.58</v>
      </c>
      <c r="F66" s="213"/>
      <c r="G66" s="213"/>
    </row>
    <row r="67" spans="1:7" ht="14.25">
      <c r="A67" s="165"/>
      <c r="B67" s="42" t="s">
        <v>118</v>
      </c>
      <c r="C67" s="42">
        <v>561</v>
      </c>
      <c r="D67" s="42">
        <v>594</v>
      </c>
      <c r="E67" s="42">
        <v>28577.25</v>
      </c>
      <c r="F67" s="168"/>
      <c r="G67" s="168"/>
    </row>
    <row r="68" spans="1:7" ht="36.75" customHeight="1">
      <c r="A68" s="187" t="s">
        <v>541</v>
      </c>
      <c r="B68" s="188"/>
      <c r="C68" s="188"/>
      <c r="D68" s="188"/>
      <c r="E68" s="188"/>
      <c r="F68" s="188"/>
      <c r="G68" s="188"/>
    </row>
    <row r="71" spans="1:7" ht="14.25">
      <c r="A71" s="32" t="s">
        <v>42</v>
      </c>
      <c r="B71" s="32" t="s">
        <v>43</v>
      </c>
      <c r="C71" s="32" t="s">
        <v>266</v>
      </c>
      <c r="D71" s="32" t="s">
        <v>267</v>
      </c>
      <c r="E71" s="32" t="s">
        <v>268</v>
      </c>
    </row>
    <row r="72" spans="1:7" ht="14.25">
      <c r="A72" s="132" t="s">
        <v>350</v>
      </c>
      <c r="B72" s="25" t="s">
        <v>351</v>
      </c>
      <c r="C72" s="42">
        <v>19.899999999999999</v>
      </c>
      <c r="D72" s="42">
        <v>430</v>
      </c>
      <c r="E72" s="26">
        <f>C72*D72</f>
        <v>8557</v>
      </c>
    </row>
    <row r="73" spans="1:7" ht="14.25">
      <c r="A73" s="132" t="s">
        <v>346</v>
      </c>
      <c r="B73" s="25" t="s">
        <v>347</v>
      </c>
      <c r="C73" s="42">
        <v>17.899999999999999</v>
      </c>
      <c r="D73" s="42">
        <v>417</v>
      </c>
      <c r="E73" s="26">
        <f>C73*D73</f>
        <v>7464.3</v>
      </c>
    </row>
    <row r="74" spans="1:7" ht="14.25">
      <c r="A74" s="135" t="s">
        <v>412</v>
      </c>
      <c r="B74" s="25" t="s">
        <v>542</v>
      </c>
      <c r="C74" s="42">
        <v>9.9</v>
      </c>
      <c r="D74" s="42">
        <v>14</v>
      </c>
      <c r="E74" s="42">
        <f>C74*D74</f>
        <v>138.6</v>
      </c>
    </row>
    <row r="77" spans="1:7" ht="14.25">
      <c r="A77" s="267" t="s">
        <v>110</v>
      </c>
      <c r="B77" s="267" t="s">
        <v>424</v>
      </c>
      <c r="C77" s="267"/>
      <c r="D77" s="267"/>
      <c r="E77" s="74"/>
    </row>
    <row r="78" spans="1:7" ht="14.25">
      <c r="A78" s="267"/>
      <c r="B78" s="58" t="s">
        <v>427</v>
      </c>
      <c r="C78" s="58" t="s">
        <v>428</v>
      </c>
      <c r="D78" s="58" t="s">
        <v>429</v>
      </c>
      <c r="E78" s="74"/>
    </row>
    <row r="79" spans="1:7" ht="14.25">
      <c r="A79" s="70">
        <v>46116</v>
      </c>
      <c r="B79" s="42">
        <v>4033</v>
      </c>
      <c r="C79" s="42">
        <v>1372.85</v>
      </c>
      <c r="D79" s="42">
        <v>2234</v>
      </c>
      <c r="E79" s="22" t="s">
        <v>431</v>
      </c>
    </row>
    <row r="80" spans="1:7" ht="14.25">
      <c r="A80" s="70">
        <v>46124</v>
      </c>
      <c r="B80" s="42">
        <v>40490</v>
      </c>
      <c r="C80" s="42">
        <v>5092.3999999999996</v>
      </c>
      <c r="D80" s="42">
        <v>19856</v>
      </c>
      <c r="E80" s="22" t="s">
        <v>432</v>
      </c>
    </row>
  </sheetData>
  <sheetProtection formatCells="0" formatColumns="0" formatRows="0" insertColumns="0" insertRows="0" insertHyperlinks="0" deleteColumns="0" deleteRows="0" sort="0" autoFilter="0" pivotTables="0"/>
  <mergeCells count="66">
    <mergeCell ref="E56:F57"/>
    <mergeCell ref="G56:H57"/>
    <mergeCell ref="E58:F59"/>
    <mergeCell ref="G58:H59"/>
    <mergeCell ref="E60:J61"/>
    <mergeCell ref="I56:J59"/>
    <mergeCell ref="I38:K39"/>
    <mergeCell ref="O38:Q39"/>
    <mergeCell ref="O41:Q44"/>
    <mergeCell ref="I43:K44"/>
    <mergeCell ref="H49:K50"/>
    <mergeCell ref="I41:K42"/>
    <mergeCell ref="I25:K26"/>
    <mergeCell ref="O25:Q31"/>
    <mergeCell ref="I27:K28"/>
    <mergeCell ref="I29:K31"/>
    <mergeCell ref="I32:K37"/>
    <mergeCell ref="O32:Q37"/>
    <mergeCell ref="A68:G68"/>
    <mergeCell ref="B77:D77"/>
    <mergeCell ref="A12:A13"/>
    <mergeCell ref="A14:A15"/>
    <mergeCell ref="A16:A18"/>
    <mergeCell ref="A25:A31"/>
    <mergeCell ref="A32:A37"/>
    <mergeCell ref="A38:A40"/>
    <mergeCell ref="A41:A44"/>
    <mergeCell ref="A49:A50"/>
    <mergeCell ref="A51:A52"/>
    <mergeCell ref="A64:A67"/>
    <mergeCell ref="A77:A78"/>
    <mergeCell ref="F65:F67"/>
    <mergeCell ref="G65:G67"/>
    <mergeCell ref="G12:J13"/>
    <mergeCell ref="H52:K52"/>
    <mergeCell ref="O52:Q52"/>
    <mergeCell ref="R52:S52"/>
    <mergeCell ref="E55:F55"/>
    <mergeCell ref="G55:H55"/>
    <mergeCell ref="I55:J55"/>
    <mergeCell ref="O49:Q49"/>
    <mergeCell ref="R49:S49"/>
    <mergeCell ref="O50:Q50"/>
    <mergeCell ref="R50:S50"/>
    <mergeCell ref="H51:K51"/>
    <mergeCell ref="O51:Q51"/>
    <mergeCell ref="R51:S51"/>
    <mergeCell ref="I40:K40"/>
    <mergeCell ref="O40:Q40"/>
    <mergeCell ref="A47:S47"/>
    <mergeCell ref="A48:B48"/>
    <mergeCell ref="H48:K48"/>
    <mergeCell ref="O48:Q48"/>
    <mergeCell ref="R48:S48"/>
    <mergeCell ref="G15:J15"/>
    <mergeCell ref="G18:J18"/>
    <mergeCell ref="A23:Q23"/>
    <mergeCell ref="I24:K24"/>
    <mergeCell ref="O24:Q24"/>
    <mergeCell ref="G16:J17"/>
    <mergeCell ref="A1:G1"/>
    <mergeCell ref="A10:J10"/>
    <mergeCell ref="A11:B11"/>
    <mergeCell ref="G11:J11"/>
    <mergeCell ref="G14:J14"/>
    <mergeCell ref="E6:G7"/>
  </mergeCells>
  <phoneticPr fontId="15" type="noConversion"/>
  <pageMargins left="0.75" right="0.75" top="1" bottom="1" header="0.5" footer="0.5"/>
  <ignoredErrors>
    <ignoredError sqref="A72:A74" numberStoredAsText="1"/>
  </ignoredErrors>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S80"/>
  <sheetViews>
    <sheetView topLeftCell="A83" workbookViewId="0">
      <selection activeCell="N64" sqref="N64"/>
    </sheetView>
  </sheetViews>
  <sheetFormatPr defaultColWidth="9" defaultRowHeight="13.5"/>
  <cols>
    <col min="1" max="1" width="11.75" customWidth="1"/>
    <col min="2" max="2" width="12.625" customWidth="1"/>
    <col min="3" max="3" width="26.125" customWidth="1"/>
    <col min="4" max="4" width="14.875" customWidth="1"/>
    <col min="5" max="5" width="15.125" customWidth="1"/>
    <col min="6" max="6" width="17.25" customWidth="1"/>
    <col min="7" max="7" width="19.625" customWidth="1"/>
    <col min="8" max="8" width="14.5" customWidth="1"/>
    <col min="9" max="9" width="12.125" customWidth="1"/>
    <col min="10" max="10" width="21.5" customWidth="1"/>
    <col min="11" max="11" width="12.625" customWidth="1"/>
    <col min="12" max="12" width="14.75" customWidth="1"/>
    <col min="13" max="13" width="13.5" customWidth="1"/>
    <col min="14" max="14" width="10.25" customWidth="1"/>
    <col min="15" max="15" width="17.375" customWidth="1"/>
    <col min="16" max="16" width="31.875" customWidth="1"/>
    <col min="17" max="18" width="11.25" customWidth="1"/>
    <col min="19" max="19" width="15.75" customWidth="1"/>
  </cols>
  <sheetData>
    <row r="1" spans="1:10" ht="14.25" customHeight="1">
      <c r="A1" s="136" t="s">
        <v>543</v>
      </c>
      <c r="B1" s="137"/>
      <c r="C1" s="137"/>
      <c r="D1" s="137"/>
      <c r="E1" s="137"/>
      <c r="F1" s="137"/>
      <c r="G1" s="137"/>
    </row>
    <row r="2" spans="1:10" ht="14.25">
      <c r="A2" s="4" t="s">
        <v>1</v>
      </c>
      <c r="B2" s="4" t="s">
        <v>2</v>
      </c>
      <c r="C2" s="4" t="s">
        <v>3</v>
      </c>
      <c r="D2" s="4" t="s">
        <v>4</v>
      </c>
      <c r="E2" s="4" t="s">
        <v>5</v>
      </c>
      <c r="F2" s="4" t="s">
        <v>6</v>
      </c>
      <c r="G2" s="4" t="s">
        <v>7</v>
      </c>
    </row>
    <row r="3" spans="1:10" ht="14.25">
      <c r="A3" s="5" t="s">
        <v>9</v>
      </c>
      <c r="B3" s="17">
        <v>1491.75</v>
      </c>
      <c r="C3" s="17">
        <v>1482.85</v>
      </c>
      <c r="D3" s="7">
        <f t="shared" ref="D3:D7" si="0">(C3-B3)/B3</f>
        <v>-5.9661471426177897E-3</v>
      </c>
      <c r="E3" s="7">
        <f>B3/(B3+B4+B5)</f>
        <v>0.31876907165385998</v>
      </c>
      <c r="F3" s="7">
        <f>C3/(C3+C4+C5)</f>
        <v>0.18423655235307401</v>
      </c>
      <c r="G3" s="7">
        <f>F3-E3</f>
        <v>-0.134532519300785</v>
      </c>
    </row>
    <row r="4" spans="1:10" ht="14.25">
      <c r="A4" s="8" t="s">
        <v>11</v>
      </c>
      <c r="B4" s="17">
        <v>2606.84</v>
      </c>
      <c r="C4" s="17">
        <v>6032.09</v>
      </c>
      <c r="D4" s="7">
        <f t="shared" si="0"/>
        <v>1.3139471544091701</v>
      </c>
      <c r="E4" s="7">
        <f>B4/(B4+B5+B3)</f>
        <v>0.557050421820109</v>
      </c>
      <c r="F4" s="7">
        <f>C4/(C3+C4+C5)</f>
        <v>0.74945642855545402</v>
      </c>
      <c r="G4" s="7">
        <f>F4-E4</f>
        <v>0.192406006735345</v>
      </c>
    </row>
    <row r="5" spans="1:10" ht="14.25">
      <c r="A5" s="8" t="s">
        <v>12</v>
      </c>
      <c r="B5" s="17">
        <v>581.13</v>
      </c>
      <c r="C5" s="17">
        <v>533.67999999999995</v>
      </c>
      <c r="D5" s="7">
        <f t="shared" si="0"/>
        <v>-8.1651265637637097E-2</v>
      </c>
      <c r="E5" s="13">
        <f>B5/(B5+B4+B3)</f>
        <v>0.12418050652603101</v>
      </c>
      <c r="F5" s="13">
        <f>C5/(C3+C4+C5)</f>
        <v>6.6307019091471603E-2</v>
      </c>
      <c r="G5" s="13">
        <f>F5-E5</f>
        <v>-5.7873487434559903E-2</v>
      </c>
    </row>
    <row r="6" spans="1:10" ht="29.65" customHeight="1">
      <c r="A6" s="8" t="s">
        <v>13</v>
      </c>
      <c r="B6" s="18">
        <v>367.66</v>
      </c>
      <c r="C6" s="18">
        <v>435.39</v>
      </c>
      <c r="D6" s="7">
        <f t="shared" si="0"/>
        <v>0.18421911548713499</v>
      </c>
      <c r="E6" s="249" t="s">
        <v>544</v>
      </c>
      <c r="F6" s="250"/>
      <c r="G6" s="250"/>
    </row>
    <row r="7" spans="1:10" ht="42.75" customHeight="1">
      <c r="A7" s="19" t="s">
        <v>14</v>
      </c>
      <c r="B7" s="20">
        <v>336.6</v>
      </c>
      <c r="C7" s="21">
        <v>394.02</v>
      </c>
      <c r="D7" s="7">
        <f t="shared" si="0"/>
        <v>0.17058823529411801</v>
      </c>
      <c r="E7" s="250"/>
      <c r="F7" s="250"/>
      <c r="G7" s="250"/>
    </row>
    <row r="10" spans="1:10" ht="14.25">
      <c r="A10" s="141" t="s">
        <v>545</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2322718.98</v>
      </c>
      <c r="D12" s="26">
        <v>1898511.23</v>
      </c>
      <c r="E12" s="27">
        <f>(C12-D12)/D12</f>
        <v>0.223442318010413</v>
      </c>
      <c r="F12" s="28">
        <f>C12/4350000</f>
        <v>0.53395838620689695</v>
      </c>
      <c r="G12" s="228" t="s">
        <v>516</v>
      </c>
      <c r="H12" s="254"/>
      <c r="I12" s="254"/>
      <c r="J12" s="255"/>
    </row>
    <row r="13" spans="1:10" ht="14.25">
      <c r="A13" s="164"/>
      <c r="B13" s="25" t="s">
        <v>25</v>
      </c>
      <c r="C13" s="26">
        <v>112847.63</v>
      </c>
      <c r="D13" s="26">
        <v>67918.13</v>
      </c>
      <c r="E13" s="27">
        <f>(C13-D13)/D13</f>
        <v>0.66152439709397204</v>
      </c>
      <c r="F13" s="28">
        <f t="shared" ref="F13:F18" si="1">C13/4350000</f>
        <v>2.5941983908046001E-2</v>
      </c>
      <c r="G13" s="256"/>
      <c r="H13" s="257"/>
      <c r="I13" s="257"/>
      <c r="J13" s="258"/>
    </row>
    <row r="14" spans="1:10" ht="53.1" customHeight="1">
      <c r="A14" s="164" t="s">
        <v>26</v>
      </c>
      <c r="B14" s="25" t="s">
        <v>27</v>
      </c>
      <c r="C14" s="26">
        <v>2477630.4900000002</v>
      </c>
      <c r="D14" s="26">
        <v>2132063.3199999998</v>
      </c>
      <c r="E14" s="27">
        <f>(C14-D14)/D14</f>
        <v>0.16208110085586</v>
      </c>
      <c r="F14" s="28">
        <f t="shared" si="1"/>
        <v>0.56957022758620701</v>
      </c>
      <c r="G14" s="146" t="s">
        <v>546</v>
      </c>
      <c r="H14" s="147"/>
      <c r="I14" s="147"/>
      <c r="J14" s="147"/>
    </row>
    <row r="15" spans="1:10" ht="32.450000000000003" customHeight="1">
      <c r="A15" s="164"/>
      <c r="B15" s="25" t="s">
        <v>29</v>
      </c>
      <c r="C15" s="26">
        <v>599971.81999999995</v>
      </c>
      <c r="D15" s="26">
        <v>373709.22</v>
      </c>
      <c r="E15" s="27">
        <f>(C15-D15)/D15</f>
        <v>0.60545094391837595</v>
      </c>
      <c r="F15" s="28">
        <f t="shared" si="1"/>
        <v>0.137924556321839</v>
      </c>
      <c r="G15" s="146" t="s">
        <v>547</v>
      </c>
      <c r="H15" s="147"/>
      <c r="I15" s="147"/>
      <c r="J15" s="147"/>
    </row>
    <row r="16" spans="1:10" ht="14.25">
      <c r="A16" s="164" t="s">
        <v>31</v>
      </c>
      <c r="B16" s="25" t="s">
        <v>34</v>
      </c>
      <c r="C16" s="26">
        <v>26511.25</v>
      </c>
      <c r="D16" s="26">
        <v>0</v>
      </c>
      <c r="E16" s="27" t="s">
        <v>57</v>
      </c>
      <c r="F16" s="28">
        <f t="shared" si="1"/>
        <v>6.0945402298850596E-3</v>
      </c>
      <c r="G16" s="195" t="s">
        <v>548</v>
      </c>
      <c r="H16" s="176"/>
      <c r="I16" s="176"/>
      <c r="J16" s="177"/>
    </row>
    <row r="17" spans="1:17" ht="14.25">
      <c r="A17" s="164"/>
      <c r="B17" s="25" t="s">
        <v>36</v>
      </c>
      <c r="C17" s="26">
        <v>62895</v>
      </c>
      <c r="D17" s="26">
        <v>197397</v>
      </c>
      <c r="E17" s="27">
        <f>(C17-D17)/D17</f>
        <v>-0.681378136445843</v>
      </c>
      <c r="F17" s="28">
        <f t="shared" si="1"/>
        <v>1.4458620689655199E-2</v>
      </c>
      <c r="G17" s="195"/>
      <c r="H17" s="176"/>
      <c r="I17" s="176"/>
      <c r="J17" s="177"/>
    </row>
    <row r="18" spans="1:17" ht="30.75" customHeight="1">
      <c r="A18" s="164"/>
      <c r="B18" s="25" t="s">
        <v>37</v>
      </c>
      <c r="C18" s="26">
        <v>266000</v>
      </c>
      <c r="D18" s="26">
        <v>377000</v>
      </c>
      <c r="E18" s="27">
        <f>(C18-D18)/D18</f>
        <v>-0.294429708222812</v>
      </c>
      <c r="F18" s="28">
        <f t="shared" si="1"/>
        <v>6.1149425287356299E-2</v>
      </c>
      <c r="G18" s="150" t="s">
        <v>549</v>
      </c>
      <c r="H18" s="161"/>
      <c r="I18" s="161"/>
      <c r="J18" s="161"/>
    </row>
    <row r="19" spans="1:17" ht="14.25">
      <c r="C19" s="30"/>
      <c r="D19" s="30"/>
      <c r="E19" s="31"/>
    </row>
    <row r="23" spans="1:17" ht="14.25">
      <c r="A23" s="251" t="s">
        <v>550</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289</v>
      </c>
      <c r="E24" s="32" t="s">
        <v>551</v>
      </c>
      <c r="F24" s="32" t="s">
        <v>129</v>
      </c>
      <c r="G24" s="32" t="s">
        <v>19</v>
      </c>
      <c r="H24" s="32" t="s">
        <v>20</v>
      </c>
      <c r="I24" s="153" t="s">
        <v>21</v>
      </c>
      <c r="J24" s="153"/>
      <c r="K24" s="153"/>
      <c r="L24" s="32" t="s">
        <v>289</v>
      </c>
      <c r="M24" s="32" t="s">
        <v>290</v>
      </c>
      <c r="N24" s="32" t="s">
        <v>291</v>
      </c>
      <c r="O24" s="153" t="s">
        <v>292</v>
      </c>
      <c r="P24" s="153"/>
      <c r="Q24" s="153"/>
    </row>
    <row r="25" spans="1:17" ht="35.65" customHeight="1">
      <c r="A25" s="212" t="s">
        <v>44</v>
      </c>
      <c r="B25" s="128" t="s">
        <v>45</v>
      </c>
      <c r="C25" s="34" t="s">
        <v>46</v>
      </c>
      <c r="D25" s="35">
        <v>1100000</v>
      </c>
      <c r="E25" s="36">
        <v>982200</v>
      </c>
      <c r="F25" s="36">
        <v>521580</v>
      </c>
      <c r="G25" s="37">
        <f t="shared" ref="G25:G28" si="2">(E25-F25)/F25</f>
        <v>0.88312435292764302</v>
      </c>
      <c r="H25" s="38">
        <f>E25/4350000</f>
        <v>0.22579310344827599</v>
      </c>
      <c r="I25" s="189" t="s">
        <v>552</v>
      </c>
      <c r="J25" s="190"/>
      <c r="K25" s="190"/>
      <c r="L25" s="39">
        <v>1100000</v>
      </c>
      <c r="M25" s="39">
        <v>1300000</v>
      </c>
      <c r="N25" s="39">
        <v>1300000</v>
      </c>
      <c r="O25" s="150" t="s">
        <v>364</v>
      </c>
      <c r="P25" s="150"/>
      <c r="Q25" s="150"/>
    </row>
    <row r="26" spans="1:17" ht="27.95" customHeight="1">
      <c r="A26" s="213"/>
      <c r="B26" s="131" t="s">
        <v>48</v>
      </c>
      <c r="C26" s="41" t="s">
        <v>49</v>
      </c>
      <c r="D26" s="35">
        <v>500000</v>
      </c>
      <c r="E26" s="76">
        <v>525726</v>
      </c>
      <c r="F26" s="76">
        <v>130364</v>
      </c>
      <c r="G26" s="78">
        <f t="shared" si="2"/>
        <v>3.0327544414102099</v>
      </c>
      <c r="H26" s="38">
        <f t="shared" ref="H26:H44" si="3">E26/4350000</f>
        <v>0.12085655172413801</v>
      </c>
      <c r="I26" s="192"/>
      <c r="J26" s="193"/>
      <c r="K26" s="193"/>
      <c r="L26" s="39">
        <v>500000</v>
      </c>
      <c r="M26" s="39">
        <v>850000</v>
      </c>
      <c r="N26" s="39">
        <v>750000</v>
      </c>
      <c r="O26" s="150"/>
      <c r="P26" s="150"/>
      <c r="Q26" s="150"/>
    </row>
    <row r="27" spans="1:17" ht="26.85" customHeight="1">
      <c r="A27" s="213"/>
      <c r="B27" s="131" t="s">
        <v>50</v>
      </c>
      <c r="C27" s="41" t="s">
        <v>51</v>
      </c>
      <c r="D27" s="35">
        <v>450000</v>
      </c>
      <c r="E27" s="76">
        <v>485599</v>
      </c>
      <c r="F27" s="76">
        <v>595511</v>
      </c>
      <c r="G27" s="78">
        <f t="shared" si="2"/>
        <v>-0.184567539474502</v>
      </c>
      <c r="H27" s="38">
        <f t="shared" si="3"/>
        <v>0.11163195402298901</v>
      </c>
      <c r="I27" s="189" t="s">
        <v>553</v>
      </c>
      <c r="J27" s="190"/>
      <c r="K27" s="190"/>
      <c r="L27" s="39">
        <v>450000</v>
      </c>
      <c r="M27" s="39">
        <v>550000</v>
      </c>
      <c r="N27" s="39">
        <v>500000</v>
      </c>
      <c r="O27" s="150"/>
      <c r="P27" s="150"/>
      <c r="Q27" s="150"/>
    </row>
    <row r="28" spans="1:17" ht="14.25">
      <c r="A28" s="213"/>
      <c r="B28" s="131" t="s">
        <v>53</v>
      </c>
      <c r="C28" s="41" t="s">
        <v>54</v>
      </c>
      <c r="D28" s="35">
        <v>400000</v>
      </c>
      <c r="E28" s="76">
        <v>105987</v>
      </c>
      <c r="F28" s="76">
        <v>164502</v>
      </c>
      <c r="G28" s="78">
        <f t="shared" si="2"/>
        <v>-0.35570996097311902</v>
      </c>
      <c r="H28" s="38">
        <f t="shared" si="3"/>
        <v>2.4364827586206901E-2</v>
      </c>
      <c r="I28" s="192"/>
      <c r="J28" s="193"/>
      <c r="K28" s="193"/>
      <c r="L28" s="39">
        <v>400000</v>
      </c>
      <c r="M28" s="39">
        <v>600000</v>
      </c>
      <c r="N28" s="39">
        <v>550000</v>
      </c>
      <c r="O28" s="150"/>
      <c r="P28" s="150"/>
      <c r="Q28" s="150"/>
    </row>
    <row r="29" spans="1:17" ht="14.25">
      <c r="A29" s="213"/>
      <c r="B29" s="129" t="s">
        <v>55</v>
      </c>
      <c r="C29" s="43" t="s">
        <v>56</v>
      </c>
      <c r="D29" s="35">
        <v>100000</v>
      </c>
      <c r="E29" s="36">
        <v>41602</v>
      </c>
      <c r="F29" s="29" t="s">
        <v>57</v>
      </c>
      <c r="G29" s="37" t="s">
        <v>57</v>
      </c>
      <c r="H29" s="38">
        <f t="shared" si="3"/>
        <v>9.5636781609195406E-3</v>
      </c>
      <c r="I29" s="189" t="s">
        <v>554</v>
      </c>
      <c r="J29" s="190"/>
      <c r="K29" s="190"/>
      <c r="L29" s="39">
        <v>100000</v>
      </c>
      <c r="M29" s="39">
        <v>180000</v>
      </c>
      <c r="N29" s="39">
        <v>150000</v>
      </c>
      <c r="O29" s="150"/>
      <c r="P29" s="150"/>
      <c r="Q29" s="150"/>
    </row>
    <row r="30" spans="1:17" ht="14.25">
      <c r="A30" s="213"/>
      <c r="B30" s="130" t="s">
        <v>137</v>
      </c>
      <c r="C30" s="43" t="s">
        <v>138</v>
      </c>
      <c r="D30" s="35">
        <v>30000</v>
      </c>
      <c r="E30" s="36">
        <v>18266</v>
      </c>
      <c r="F30" s="29" t="s">
        <v>57</v>
      </c>
      <c r="G30" s="37" t="s">
        <v>57</v>
      </c>
      <c r="H30" s="38">
        <f t="shared" si="3"/>
        <v>4.1990804597701204E-3</v>
      </c>
      <c r="I30" s="195"/>
      <c r="J30" s="176"/>
      <c r="K30" s="176"/>
      <c r="L30" s="39">
        <v>30000</v>
      </c>
      <c r="M30" s="39">
        <v>60000</v>
      </c>
      <c r="N30" s="39">
        <v>50000</v>
      </c>
      <c r="O30" s="150"/>
      <c r="P30" s="150"/>
      <c r="Q30" s="150"/>
    </row>
    <row r="31" spans="1:17" ht="42.2" customHeight="1">
      <c r="A31" s="168"/>
      <c r="B31" s="129" t="s">
        <v>232</v>
      </c>
      <c r="C31" s="43" t="s">
        <v>233</v>
      </c>
      <c r="D31" s="35">
        <v>100000</v>
      </c>
      <c r="E31" s="36">
        <v>8351</v>
      </c>
      <c r="F31" s="29" t="s">
        <v>57</v>
      </c>
      <c r="G31" s="37" t="s">
        <v>57</v>
      </c>
      <c r="H31" s="38">
        <f t="shared" si="3"/>
        <v>1.91977011494253E-3</v>
      </c>
      <c r="I31" s="192"/>
      <c r="J31" s="193"/>
      <c r="K31" s="193"/>
      <c r="L31" s="39">
        <v>100000</v>
      </c>
      <c r="M31" s="39">
        <v>300000</v>
      </c>
      <c r="N31" s="39">
        <v>250000</v>
      </c>
      <c r="O31" s="150"/>
      <c r="P31" s="150"/>
      <c r="Q31" s="150"/>
    </row>
    <row r="32" spans="1:17" ht="14.25">
      <c r="A32" s="165" t="s">
        <v>59</v>
      </c>
      <c r="B32" s="129" t="s">
        <v>60</v>
      </c>
      <c r="C32" s="43" t="s">
        <v>61</v>
      </c>
      <c r="D32" s="35">
        <v>70000</v>
      </c>
      <c r="E32" s="36">
        <v>41955</v>
      </c>
      <c r="F32" s="26">
        <v>56270</v>
      </c>
      <c r="G32" s="37">
        <f t="shared" ref="G32:G39" si="4">(E32-F32)/F32</f>
        <v>-0.25439843611160501</v>
      </c>
      <c r="H32" s="38">
        <f t="shared" si="3"/>
        <v>9.6448275862069006E-3</v>
      </c>
      <c r="I32" s="189" t="s">
        <v>555</v>
      </c>
      <c r="J32" s="190"/>
      <c r="K32" s="190"/>
      <c r="L32" s="39">
        <v>70000</v>
      </c>
      <c r="M32" s="39">
        <v>100000</v>
      </c>
      <c r="N32" s="39">
        <v>90000</v>
      </c>
      <c r="O32" s="150" t="s">
        <v>298</v>
      </c>
      <c r="P32" s="150"/>
      <c r="Q32" s="150"/>
    </row>
    <row r="33" spans="1:19" ht="14.25">
      <c r="A33" s="165"/>
      <c r="B33" s="131" t="s">
        <v>63</v>
      </c>
      <c r="C33" s="41" t="s">
        <v>64</v>
      </c>
      <c r="D33" s="35">
        <v>15000</v>
      </c>
      <c r="E33" s="76">
        <v>9406</v>
      </c>
      <c r="F33" s="57">
        <v>17192</v>
      </c>
      <c r="G33" s="37">
        <f t="shared" si="4"/>
        <v>-0.45288506281991597</v>
      </c>
      <c r="H33" s="38">
        <f t="shared" si="3"/>
        <v>2.1622988505747101E-3</v>
      </c>
      <c r="I33" s="195"/>
      <c r="J33" s="176"/>
      <c r="K33" s="176"/>
      <c r="L33" s="39">
        <v>15000</v>
      </c>
      <c r="M33" s="39">
        <v>35000</v>
      </c>
      <c r="N33" s="39">
        <v>30000</v>
      </c>
      <c r="O33" s="150"/>
      <c r="P33" s="150"/>
      <c r="Q33" s="150"/>
    </row>
    <row r="34" spans="1:19" ht="14.25">
      <c r="A34" s="165"/>
      <c r="B34" s="131" t="s">
        <v>65</v>
      </c>
      <c r="C34" s="41" t="s">
        <v>66</v>
      </c>
      <c r="D34" s="35">
        <v>90000</v>
      </c>
      <c r="E34" s="76">
        <v>62052</v>
      </c>
      <c r="F34" s="57">
        <v>47710</v>
      </c>
      <c r="G34" s="37">
        <f t="shared" si="4"/>
        <v>0.30060783902745802</v>
      </c>
      <c r="H34" s="38">
        <f t="shared" si="3"/>
        <v>1.42648275862069E-2</v>
      </c>
      <c r="I34" s="195"/>
      <c r="J34" s="176"/>
      <c r="K34" s="176"/>
      <c r="L34" s="39">
        <v>90000</v>
      </c>
      <c r="M34" s="39">
        <v>60000</v>
      </c>
      <c r="N34" s="39">
        <v>50000</v>
      </c>
      <c r="O34" s="150"/>
      <c r="P34" s="150"/>
      <c r="Q34" s="150"/>
    </row>
    <row r="35" spans="1:19" ht="14.25">
      <c r="A35" s="165"/>
      <c r="B35" s="131" t="s">
        <v>67</v>
      </c>
      <c r="C35" s="41" t="s">
        <v>68</v>
      </c>
      <c r="D35" s="35">
        <v>15000</v>
      </c>
      <c r="E35" s="76">
        <v>13857</v>
      </c>
      <c r="F35" s="57">
        <v>13355</v>
      </c>
      <c r="G35" s="37">
        <f t="shared" si="4"/>
        <v>3.7588918008236598E-2</v>
      </c>
      <c r="H35" s="38">
        <f t="shared" si="3"/>
        <v>3.1855172413793099E-3</v>
      </c>
      <c r="I35" s="195"/>
      <c r="J35" s="176"/>
      <c r="K35" s="176"/>
      <c r="L35" s="39">
        <v>15000</v>
      </c>
      <c r="M35" s="39">
        <v>25000</v>
      </c>
      <c r="N35" s="39">
        <v>20000</v>
      </c>
      <c r="O35" s="150"/>
      <c r="P35" s="150"/>
      <c r="Q35" s="150"/>
    </row>
    <row r="36" spans="1:19" ht="14.25">
      <c r="A36" s="165"/>
      <c r="B36" s="129" t="s">
        <v>69</v>
      </c>
      <c r="C36" s="43" t="s">
        <v>70</v>
      </c>
      <c r="D36" s="35">
        <v>75000</v>
      </c>
      <c r="E36" s="36">
        <v>61874</v>
      </c>
      <c r="F36" s="57">
        <v>59983</v>
      </c>
      <c r="G36" s="37">
        <f t="shared" si="4"/>
        <v>3.1525598919693899E-2</v>
      </c>
      <c r="H36" s="38">
        <f t="shared" si="3"/>
        <v>1.4223908045977E-2</v>
      </c>
      <c r="I36" s="195"/>
      <c r="J36" s="176"/>
      <c r="K36" s="176"/>
      <c r="L36" s="39">
        <v>75000</v>
      </c>
      <c r="M36" s="39">
        <v>100000</v>
      </c>
      <c r="N36" s="39">
        <v>90000</v>
      </c>
      <c r="O36" s="150"/>
      <c r="P36" s="150"/>
      <c r="Q36" s="150"/>
    </row>
    <row r="37" spans="1:19" ht="14.25">
      <c r="A37" s="165"/>
      <c r="B37" s="131" t="s">
        <v>72</v>
      </c>
      <c r="C37" s="41" t="s">
        <v>73</v>
      </c>
      <c r="D37" s="35">
        <v>30000</v>
      </c>
      <c r="E37" s="76">
        <v>21917</v>
      </c>
      <c r="F37" s="26">
        <v>15867</v>
      </c>
      <c r="G37" s="37">
        <f t="shared" si="4"/>
        <v>0.38129451061952502</v>
      </c>
      <c r="H37" s="38">
        <f t="shared" si="3"/>
        <v>5.0383908045977003E-3</v>
      </c>
      <c r="I37" s="192"/>
      <c r="J37" s="193"/>
      <c r="K37" s="193"/>
      <c r="L37" s="39">
        <v>30000</v>
      </c>
      <c r="M37" s="39">
        <v>50000</v>
      </c>
      <c r="N37" s="39">
        <v>40000</v>
      </c>
      <c r="O37" s="150"/>
      <c r="P37" s="150"/>
      <c r="Q37" s="150"/>
    </row>
    <row r="38" spans="1:19" ht="21.6" customHeight="1">
      <c r="A38" s="167" t="s">
        <v>74</v>
      </c>
      <c r="B38" s="46">
        <v>100127194542</v>
      </c>
      <c r="C38" s="41" t="s">
        <v>75</v>
      </c>
      <c r="D38" s="35">
        <v>35000</v>
      </c>
      <c r="E38" s="76">
        <v>28909</v>
      </c>
      <c r="F38" s="57">
        <v>17818</v>
      </c>
      <c r="G38" s="37">
        <f t="shared" si="4"/>
        <v>0.622460433269727</v>
      </c>
      <c r="H38" s="38">
        <f t="shared" si="3"/>
        <v>6.6457471264367799E-3</v>
      </c>
      <c r="I38" s="150" t="s">
        <v>556</v>
      </c>
      <c r="J38" s="161"/>
      <c r="K38" s="161"/>
      <c r="L38" s="39">
        <v>35000</v>
      </c>
      <c r="M38" s="39">
        <v>50000</v>
      </c>
      <c r="N38" s="39">
        <v>40000</v>
      </c>
      <c r="O38" s="150" t="s">
        <v>300</v>
      </c>
      <c r="P38" s="150"/>
      <c r="Q38" s="150"/>
    </row>
    <row r="39" spans="1:19" ht="28.7" customHeight="1">
      <c r="A39" s="169"/>
      <c r="B39" s="48">
        <v>100150693764</v>
      </c>
      <c r="C39" s="49" t="s">
        <v>77</v>
      </c>
      <c r="D39" s="35">
        <v>40000</v>
      </c>
      <c r="E39" s="36">
        <v>48682</v>
      </c>
      <c r="F39" s="26">
        <v>33666</v>
      </c>
      <c r="G39" s="37">
        <f t="shared" si="4"/>
        <v>0.44602863423038103</v>
      </c>
      <c r="H39" s="38">
        <f t="shared" si="3"/>
        <v>1.11912643678161E-2</v>
      </c>
      <c r="I39" s="161"/>
      <c r="J39" s="161"/>
      <c r="K39" s="161"/>
      <c r="L39" s="39">
        <v>40000</v>
      </c>
      <c r="M39" s="39">
        <v>70000</v>
      </c>
      <c r="N39" s="39">
        <v>60000</v>
      </c>
      <c r="O39" s="150"/>
      <c r="P39" s="150"/>
      <c r="Q39" s="150"/>
    </row>
    <row r="40" spans="1:19" ht="30.6" customHeight="1">
      <c r="A40" s="166"/>
      <c r="B40" s="46">
        <v>100325407774</v>
      </c>
      <c r="C40" s="41" t="s">
        <v>301</v>
      </c>
      <c r="D40" s="35">
        <v>15000</v>
      </c>
      <c r="E40" s="76">
        <v>21225</v>
      </c>
      <c r="F40" s="77" t="s">
        <v>57</v>
      </c>
      <c r="G40" s="78" t="s">
        <v>57</v>
      </c>
      <c r="H40" s="38">
        <f t="shared" si="3"/>
        <v>4.8793103448275896E-3</v>
      </c>
      <c r="I40" s="231" t="s">
        <v>557</v>
      </c>
      <c r="J40" s="235"/>
      <c r="K40" s="235"/>
      <c r="L40" s="39">
        <v>15000</v>
      </c>
      <c r="M40" s="39">
        <v>40000</v>
      </c>
      <c r="N40" s="39">
        <v>30000</v>
      </c>
      <c r="O40" s="242" t="s">
        <v>240</v>
      </c>
      <c r="P40" s="242"/>
      <c r="Q40" s="242"/>
    </row>
    <row r="41" spans="1:19" ht="14.25">
      <c r="A41" s="164" t="s">
        <v>78</v>
      </c>
      <c r="B41" s="129" t="s">
        <v>79</v>
      </c>
      <c r="C41" s="43" t="s">
        <v>80</v>
      </c>
      <c r="D41" s="35">
        <v>30000</v>
      </c>
      <c r="E41" s="36">
        <v>18108</v>
      </c>
      <c r="F41" s="77" t="s">
        <v>57</v>
      </c>
      <c r="G41" s="37" t="s">
        <v>57</v>
      </c>
      <c r="H41" s="38">
        <f t="shared" si="3"/>
        <v>4.1627586206896498E-3</v>
      </c>
      <c r="I41" s="189" t="s">
        <v>146</v>
      </c>
      <c r="J41" s="190"/>
      <c r="K41" s="190"/>
      <c r="L41" s="39">
        <v>30000</v>
      </c>
      <c r="M41" s="39">
        <v>60000</v>
      </c>
      <c r="N41" s="39">
        <v>55000</v>
      </c>
      <c r="O41" s="150" t="s">
        <v>303</v>
      </c>
      <c r="P41" s="150"/>
      <c r="Q41" s="150"/>
    </row>
    <row r="42" spans="1:19" ht="14.25">
      <c r="A42" s="164"/>
      <c r="B42" s="129" t="s">
        <v>82</v>
      </c>
      <c r="C42" s="49" t="s">
        <v>83</v>
      </c>
      <c r="D42" s="35">
        <v>20000</v>
      </c>
      <c r="E42" s="36">
        <v>17731</v>
      </c>
      <c r="F42" s="77" t="s">
        <v>57</v>
      </c>
      <c r="G42" s="37" t="s">
        <v>57</v>
      </c>
      <c r="H42" s="38">
        <f t="shared" si="3"/>
        <v>4.0760919540229904E-3</v>
      </c>
      <c r="I42" s="192"/>
      <c r="J42" s="193"/>
      <c r="K42" s="193"/>
      <c r="L42" s="39">
        <v>20000</v>
      </c>
      <c r="M42" s="39">
        <v>40000</v>
      </c>
      <c r="N42" s="39">
        <v>35000</v>
      </c>
      <c r="O42" s="150"/>
      <c r="P42" s="150"/>
      <c r="Q42" s="150"/>
    </row>
    <row r="43" spans="1:19" ht="14.25">
      <c r="A43" s="164"/>
      <c r="B43" s="48">
        <v>100230489825</v>
      </c>
      <c r="C43" s="43" t="s">
        <v>84</v>
      </c>
      <c r="D43" s="35">
        <v>150000</v>
      </c>
      <c r="E43" s="36">
        <v>138735</v>
      </c>
      <c r="F43" s="77" t="s">
        <v>57</v>
      </c>
      <c r="G43" s="37" t="s">
        <v>57</v>
      </c>
      <c r="H43" s="38">
        <f t="shared" si="3"/>
        <v>3.1893103448275902E-2</v>
      </c>
      <c r="I43" s="189" t="s">
        <v>558</v>
      </c>
      <c r="J43" s="190"/>
      <c r="K43" s="190"/>
      <c r="L43" s="39">
        <v>150000</v>
      </c>
      <c r="M43" s="39">
        <v>250000</v>
      </c>
      <c r="N43" s="39">
        <v>200000</v>
      </c>
      <c r="O43" s="150"/>
      <c r="P43" s="150"/>
      <c r="Q43" s="150"/>
    </row>
    <row r="44" spans="1:19" ht="14.25">
      <c r="A44" s="164"/>
      <c r="B44" s="48">
        <v>100307579062</v>
      </c>
      <c r="C44" s="49" t="s">
        <v>85</v>
      </c>
      <c r="D44" s="35">
        <v>40000</v>
      </c>
      <c r="E44" s="36">
        <v>30384</v>
      </c>
      <c r="F44" s="77" t="s">
        <v>57</v>
      </c>
      <c r="G44" s="37" t="s">
        <v>57</v>
      </c>
      <c r="H44" s="38">
        <f t="shared" si="3"/>
        <v>6.9848275862068997E-3</v>
      </c>
      <c r="I44" s="192"/>
      <c r="J44" s="193"/>
      <c r="K44" s="193"/>
      <c r="L44" s="39">
        <v>40000</v>
      </c>
      <c r="M44" s="39">
        <v>70000</v>
      </c>
      <c r="N44" s="39">
        <v>50000</v>
      </c>
      <c r="O44" s="150"/>
      <c r="P44" s="150"/>
      <c r="Q44" s="150"/>
    </row>
    <row r="45" spans="1:19" ht="14.25">
      <c r="A45" s="52"/>
      <c r="B45" s="53"/>
      <c r="C45" s="53"/>
      <c r="D45" s="52"/>
      <c r="E45" s="53"/>
      <c r="F45" s="53"/>
      <c r="G45" s="53"/>
      <c r="H45" s="53"/>
      <c r="I45" s="53"/>
      <c r="J45" s="53"/>
      <c r="K45" s="53"/>
      <c r="L45" s="53"/>
      <c r="M45" s="53"/>
      <c r="N45" s="53"/>
      <c r="O45" s="53"/>
    </row>
    <row r="46" spans="1:19" ht="14.25">
      <c r="A46" s="52"/>
      <c r="B46" s="53"/>
      <c r="C46" s="53"/>
      <c r="D46" s="52"/>
      <c r="E46" s="53"/>
      <c r="F46" s="53"/>
      <c r="G46" s="53"/>
      <c r="H46" s="53"/>
      <c r="I46" s="53"/>
      <c r="J46" s="53"/>
      <c r="K46" s="53"/>
      <c r="L46" s="53"/>
      <c r="M46" s="53"/>
      <c r="N46" s="53"/>
      <c r="O46" s="53"/>
    </row>
    <row r="47" spans="1:19" ht="14.25">
      <c r="A47" s="237" t="s">
        <v>559</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289</v>
      </c>
      <c r="D48" s="54" t="s">
        <v>560</v>
      </c>
      <c r="E48" s="54" t="s">
        <v>129</v>
      </c>
      <c r="F48" s="54" t="s">
        <v>19</v>
      </c>
      <c r="G48" s="54" t="s">
        <v>20</v>
      </c>
      <c r="H48" s="238" t="s">
        <v>21</v>
      </c>
      <c r="I48" s="238"/>
      <c r="J48" s="238"/>
      <c r="K48" s="238"/>
      <c r="L48" s="55" t="s">
        <v>289</v>
      </c>
      <c r="M48" s="55" t="s">
        <v>290</v>
      </c>
      <c r="N48" s="55" t="s">
        <v>291</v>
      </c>
      <c r="O48" s="210" t="s">
        <v>373</v>
      </c>
      <c r="P48" s="210"/>
      <c r="Q48" s="210"/>
      <c r="R48" s="210" t="s">
        <v>374</v>
      </c>
      <c r="S48" s="210"/>
    </row>
    <row r="49" spans="1:19" ht="31.5" customHeight="1">
      <c r="A49" s="164" t="s">
        <v>88</v>
      </c>
      <c r="B49" s="40" t="s">
        <v>89</v>
      </c>
      <c r="C49" s="29" t="s">
        <v>309</v>
      </c>
      <c r="D49" s="57">
        <v>2858368.02</v>
      </c>
      <c r="E49" s="26">
        <v>2330881.9900000002</v>
      </c>
      <c r="F49" s="28">
        <f>(D49-E49)/E49</f>
        <v>0.226303190064118</v>
      </c>
      <c r="G49" s="28">
        <f>D49/4350000</f>
        <v>0.65709609655172396</v>
      </c>
      <c r="H49" s="150" t="s">
        <v>561</v>
      </c>
      <c r="I49" s="150"/>
      <c r="J49" s="150"/>
      <c r="K49" s="150"/>
      <c r="L49" s="29" t="s">
        <v>309</v>
      </c>
      <c r="M49" s="56" t="s">
        <v>310</v>
      </c>
      <c r="N49" s="56" t="s">
        <v>311</v>
      </c>
      <c r="O49" s="231" t="s">
        <v>376</v>
      </c>
      <c r="P49" s="232"/>
      <c r="Q49" s="233"/>
      <c r="R49" s="150" t="s">
        <v>377</v>
      </c>
      <c r="S49" s="161"/>
    </row>
    <row r="50" spans="1:19" ht="28.5" customHeight="1">
      <c r="A50" s="165"/>
      <c r="B50" s="40" t="s">
        <v>91</v>
      </c>
      <c r="C50" s="29" t="s">
        <v>314</v>
      </c>
      <c r="D50" s="57">
        <v>1497927.39</v>
      </c>
      <c r="E50" s="26">
        <v>1200423.47</v>
      </c>
      <c r="F50" s="28">
        <f>(D50-E50)/E50</f>
        <v>0.24783247531806399</v>
      </c>
      <c r="G50" s="28">
        <f>D50/4350000</f>
        <v>0.34435112413793101</v>
      </c>
      <c r="H50" s="150"/>
      <c r="I50" s="150"/>
      <c r="J50" s="150"/>
      <c r="K50" s="150"/>
      <c r="L50" s="29" t="s">
        <v>314</v>
      </c>
      <c r="M50" s="56" t="s">
        <v>252</v>
      </c>
      <c r="N50" s="56" t="s">
        <v>247</v>
      </c>
      <c r="O50" s="231" t="s">
        <v>378</v>
      </c>
      <c r="P50" s="232"/>
      <c r="Q50" s="233"/>
      <c r="R50" s="150" t="s">
        <v>379</v>
      </c>
      <c r="S50" s="161"/>
    </row>
    <row r="51" spans="1:19" ht="30.75" customHeight="1">
      <c r="A51" s="164" t="s">
        <v>92</v>
      </c>
      <c r="B51" s="58" t="s">
        <v>93</v>
      </c>
      <c r="C51" s="29" t="s">
        <v>318</v>
      </c>
      <c r="D51" s="57">
        <v>519834.92</v>
      </c>
      <c r="E51" s="26">
        <v>309248.38</v>
      </c>
      <c r="F51" s="28">
        <f>(D51-E51)/E51</f>
        <v>0.68096246777428504</v>
      </c>
      <c r="G51" s="28">
        <f>D51/4350000</f>
        <v>0.11950228045977</v>
      </c>
      <c r="H51" s="150" t="s">
        <v>562</v>
      </c>
      <c r="I51" s="161"/>
      <c r="J51" s="161"/>
      <c r="K51" s="161"/>
      <c r="L51" s="29" t="s">
        <v>318</v>
      </c>
      <c r="M51" s="56" t="s">
        <v>319</v>
      </c>
      <c r="N51" s="56" t="s">
        <v>320</v>
      </c>
      <c r="O51" s="231" t="s">
        <v>381</v>
      </c>
      <c r="P51" s="232"/>
      <c r="Q51" s="233"/>
      <c r="R51" s="150" t="s">
        <v>322</v>
      </c>
      <c r="S51" s="161"/>
    </row>
    <row r="52" spans="1:19" ht="30.75" customHeight="1">
      <c r="A52" s="165"/>
      <c r="B52" s="40" t="s">
        <v>95</v>
      </c>
      <c r="C52" s="29" t="s">
        <v>247</v>
      </c>
      <c r="D52" s="57">
        <v>2006832</v>
      </c>
      <c r="E52" s="26">
        <v>1254808</v>
      </c>
      <c r="F52" s="28">
        <f>(D52-E52)/E52</f>
        <v>0.59931399863564805</v>
      </c>
      <c r="G52" s="28">
        <f>D52/4350000</f>
        <v>0.461340689655172</v>
      </c>
      <c r="H52" s="150" t="s">
        <v>532</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9"/>
      <c r="B54" s="53"/>
      <c r="C54" s="53"/>
      <c r="D54" s="53"/>
      <c r="E54" s="53"/>
      <c r="F54" s="53"/>
      <c r="G54" s="53"/>
      <c r="H54" s="53"/>
      <c r="I54" s="53"/>
      <c r="J54" s="53"/>
      <c r="K54" s="53"/>
      <c r="L54" s="53"/>
      <c r="M54" s="53"/>
      <c r="N54" s="53"/>
      <c r="O54" s="53"/>
    </row>
    <row r="55" spans="1:19" ht="21" customHeight="1">
      <c r="A55" s="55" t="s">
        <v>563</v>
      </c>
      <c r="B55" s="55" t="s">
        <v>98</v>
      </c>
      <c r="C55" s="55" t="s">
        <v>99</v>
      </c>
      <c r="D55" s="55" t="s">
        <v>100</v>
      </c>
      <c r="E55" s="265" t="s">
        <v>101</v>
      </c>
      <c r="F55" s="266"/>
      <c r="G55" s="210" t="s">
        <v>102</v>
      </c>
      <c r="H55" s="210"/>
      <c r="I55" s="210" t="s">
        <v>21</v>
      </c>
      <c r="J55" s="265"/>
      <c r="K55" s="210" t="s">
        <v>564</v>
      </c>
      <c r="L55" s="210"/>
      <c r="M55" s="210"/>
      <c r="N55" s="81"/>
    </row>
    <row r="56" spans="1:19" ht="29.25" customHeight="1">
      <c r="A56" s="25" t="s">
        <v>89</v>
      </c>
      <c r="B56" s="26">
        <v>9549</v>
      </c>
      <c r="C56" s="26">
        <v>812208</v>
      </c>
      <c r="D56" s="60">
        <v>85.05</v>
      </c>
      <c r="E56" s="283" t="s">
        <v>565</v>
      </c>
      <c r="F56" s="284"/>
      <c r="G56" s="187" t="s">
        <v>566</v>
      </c>
      <c r="H56" s="187"/>
      <c r="I56" s="189" t="s">
        <v>567</v>
      </c>
      <c r="J56" s="190"/>
      <c r="K56" s="150" t="s">
        <v>568</v>
      </c>
      <c r="L56" s="243"/>
      <c r="M56" s="243"/>
      <c r="N56" s="44"/>
    </row>
    <row r="57" spans="1:19" ht="24.75" customHeight="1">
      <c r="A57" s="25" t="s">
        <v>19</v>
      </c>
      <c r="B57" s="28">
        <v>0.27539999999999998</v>
      </c>
      <c r="C57" s="28">
        <v>0.59119999999999995</v>
      </c>
      <c r="D57" s="28">
        <v>0.24759999999999999</v>
      </c>
      <c r="E57" s="284"/>
      <c r="F57" s="284"/>
      <c r="G57" s="187"/>
      <c r="H57" s="187"/>
      <c r="I57" s="195"/>
      <c r="J57" s="176"/>
      <c r="K57" s="243"/>
      <c r="L57" s="243"/>
      <c r="M57" s="243"/>
      <c r="N57" s="44"/>
    </row>
    <row r="58" spans="1:19" ht="27.75" customHeight="1">
      <c r="A58" s="25" t="s">
        <v>91</v>
      </c>
      <c r="B58" s="26">
        <v>6036</v>
      </c>
      <c r="C58" s="26">
        <v>549301</v>
      </c>
      <c r="D58" s="60">
        <v>91.01</v>
      </c>
      <c r="E58" s="285" t="s">
        <v>569</v>
      </c>
      <c r="F58" s="286"/>
      <c r="G58" s="187" t="s">
        <v>570</v>
      </c>
      <c r="H58" s="187"/>
      <c r="I58" s="195"/>
      <c r="J58" s="176"/>
      <c r="K58" s="243"/>
      <c r="L58" s="243"/>
      <c r="M58" s="243"/>
      <c r="N58" s="44"/>
    </row>
    <row r="59" spans="1:19" ht="27" customHeight="1">
      <c r="A59" s="25" t="s">
        <v>19</v>
      </c>
      <c r="B59" s="28">
        <v>0.46929999999999999</v>
      </c>
      <c r="C59" s="28">
        <v>0.62539999999999996</v>
      </c>
      <c r="D59" s="28">
        <v>0.10630000000000001</v>
      </c>
      <c r="E59" s="286"/>
      <c r="F59" s="286"/>
      <c r="G59" s="187"/>
      <c r="H59" s="187"/>
      <c r="I59" s="192"/>
      <c r="J59" s="193"/>
      <c r="K59" s="243"/>
      <c r="L59" s="243"/>
      <c r="M59" s="243"/>
      <c r="N59" s="44"/>
    </row>
    <row r="60" spans="1:19" ht="23.25" customHeight="1">
      <c r="A60" s="25" t="s">
        <v>97</v>
      </c>
      <c r="B60" s="26">
        <v>15585</v>
      </c>
      <c r="C60" s="26">
        <v>1361509</v>
      </c>
      <c r="D60" s="60">
        <v>87.36</v>
      </c>
      <c r="E60" s="273" t="s">
        <v>539</v>
      </c>
      <c r="F60" s="273"/>
      <c r="G60" s="273"/>
      <c r="H60" s="273"/>
      <c r="I60" s="273"/>
      <c r="J60" s="274"/>
      <c r="K60" s="243"/>
      <c r="L60" s="243"/>
      <c r="M60" s="243"/>
      <c r="N60" s="44"/>
    </row>
    <row r="61" spans="1:19" ht="35.25" customHeight="1">
      <c r="A61" s="42" t="s">
        <v>19</v>
      </c>
      <c r="B61" s="28">
        <v>0.34410000000000002</v>
      </c>
      <c r="C61" s="28">
        <v>0.6048</v>
      </c>
      <c r="D61" s="28">
        <v>0.19400000000000001</v>
      </c>
      <c r="E61" s="273"/>
      <c r="F61" s="273"/>
      <c r="G61" s="273"/>
      <c r="H61" s="273"/>
      <c r="I61" s="273"/>
      <c r="J61" s="274"/>
      <c r="K61" s="243"/>
      <c r="L61" s="243"/>
      <c r="M61" s="243"/>
      <c r="N61" s="44"/>
    </row>
    <row r="64" spans="1:19" ht="15">
      <c r="A64" s="165" t="s">
        <v>109</v>
      </c>
      <c r="B64" s="62" t="s">
        <v>110</v>
      </c>
      <c r="C64" s="62" t="s">
        <v>111</v>
      </c>
      <c r="D64" s="62" t="s">
        <v>112</v>
      </c>
      <c r="E64" s="62" t="s">
        <v>113</v>
      </c>
      <c r="F64" s="62" t="s">
        <v>262</v>
      </c>
      <c r="G64" s="62" t="s">
        <v>263</v>
      </c>
      <c r="I64" s="63" t="s">
        <v>42</v>
      </c>
      <c r="J64" s="63" t="s">
        <v>392</v>
      </c>
      <c r="K64" s="63" t="s">
        <v>393</v>
      </c>
      <c r="L64" s="63" t="s">
        <v>394</v>
      </c>
      <c r="M64" s="63" t="s">
        <v>395</v>
      </c>
      <c r="N64" s="63" t="s">
        <v>396</v>
      </c>
      <c r="O64" s="63" t="s">
        <v>397</v>
      </c>
      <c r="P64" s="63" t="s">
        <v>398</v>
      </c>
    </row>
    <row r="65" spans="1:16" ht="14.25">
      <c r="A65" s="165"/>
      <c r="B65" s="25" t="s">
        <v>571</v>
      </c>
      <c r="C65" s="42">
        <v>9540</v>
      </c>
      <c r="D65" s="42">
        <v>9620</v>
      </c>
      <c r="E65" s="42">
        <v>197397</v>
      </c>
      <c r="F65" s="212">
        <v>30</v>
      </c>
      <c r="G65" s="212">
        <v>1947</v>
      </c>
      <c r="I65" s="65" t="s">
        <v>400</v>
      </c>
      <c r="J65" s="50" t="s">
        <v>401</v>
      </c>
      <c r="K65" s="25">
        <v>7.9</v>
      </c>
      <c r="L65" s="25">
        <v>1</v>
      </c>
      <c r="M65" s="25">
        <v>9000</v>
      </c>
      <c r="N65" s="25">
        <v>9000</v>
      </c>
      <c r="O65" s="25" t="s">
        <v>402</v>
      </c>
      <c r="P65" s="239" t="s">
        <v>403</v>
      </c>
    </row>
    <row r="66" spans="1:16" ht="14.25">
      <c r="A66" s="165"/>
      <c r="B66" s="42" t="s">
        <v>117</v>
      </c>
      <c r="C66" s="42">
        <v>840</v>
      </c>
      <c r="D66" s="42">
        <v>690</v>
      </c>
      <c r="E66" s="42">
        <v>23074.18</v>
      </c>
      <c r="F66" s="213"/>
      <c r="G66" s="213"/>
      <c r="I66" s="65" t="s">
        <v>404</v>
      </c>
      <c r="J66" s="50" t="s">
        <v>405</v>
      </c>
      <c r="K66" s="25">
        <v>14.9</v>
      </c>
      <c r="L66" s="25">
        <v>1</v>
      </c>
      <c r="M66" s="25">
        <v>500</v>
      </c>
      <c r="N66" s="25">
        <v>500</v>
      </c>
      <c r="O66" s="25" t="s">
        <v>402</v>
      </c>
      <c r="P66" s="240"/>
    </row>
    <row r="67" spans="1:16" ht="14.25">
      <c r="A67" s="165"/>
      <c r="B67" s="42" t="s">
        <v>118</v>
      </c>
      <c r="C67" s="42">
        <v>1270</v>
      </c>
      <c r="D67" s="42">
        <v>1056</v>
      </c>
      <c r="E67" s="42">
        <v>42115.82</v>
      </c>
      <c r="F67" s="168"/>
      <c r="G67" s="168"/>
      <c r="I67" s="65" t="s">
        <v>406</v>
      </c>
      <c r="J67" s="50" t="s">
        <v>407</v>
      </c>
      <c r="K67" s="25">
        <v>14.9</v>
      </c>
      <c r="L67" s="25">
        <v>1</v>
      </c>
      <c r="M67" s="25">
        <v>500</v>
      </c>
      <c r="N67" s="25">
        <v>500</v>
      </c>
      <c r="O67" s="25" t="s">
        <v>402</v>
      </c>
      <c r="P67" s="240"/>
    </row>
    <row r="68" spans="1:16" ht="36.75" customHeight="1">
      <c r="A68" s="187" t="s">
        <v>572</v>
      </c>
      <c r="B68" s="188"/>
      <c r="C68" s="188"/>
      <c r="D68" s="188"/>
      <c r="E68" s="188"/>
      <c r="F68" s="188"/>
      <c r="G68" s="188"/>
      <c r="I68" s="65" t="s">
        <v>409</v>
      </c>
      <c r="J68" s="50" t="s">
        <v>410</v>
      </c>
      <c r="K68" s="25">
        <v>9.9</v>
      </c>
      <c r="L68" s="25">
        <v>2.9</v>
      </c>
      <c r="M68" s="25">
        <v>2000</v>
      </c>
      <c r="N68" s="25">
        <v>5800</v>
      </c>
      <c r="O68" s="25" t="s">
        <v>402</v>
      </c>
      <c r="P68" s="240"/>
    </row>
    <row r="69" spans="1:16" ht="14.25">
      <c r="I69" s="65" t="s">
        <v>273</v>
      </c>
      <c r="J69" s="50" t="s">
        <v>411</v>
      </c>
      <c r="K69" s="25">
        <v>9.9</v>
      </c>
      <c r="L69" s="25">
        <v>2.9</v>
      </c>
      <c r="M69" s="25">
        <v>2500</v>
      </c>
      <c r="N69" s="25">
        <v>7250</v>
      </c>
      <c r="O69" s="25" t="s">
        <v>402</v>
      </c>
      <c r="P69" s="240"/>
    </row>
    <row r="70" spans="1:16" ht="14.25">
      <c r="I70" s="65" t="s">
        <v>412</v>
      </c>
      <c r="J70" s="50" t="s">
        <v>413</v>
      </c>
      <c r="K70" s="25">
        <v>25.9</v>
      </c>
      <c r="L70" s="25">
        <v>9.9</v>
      </c>
      <c r="M70" s="25">
        <v>4000</v>
      </c>
      <c r="N70" s="25">
        <v>39600</v>
      </c>
      <c r="O70" s="25" t="s">
        <v>402</v>
      </c>
      <c r="P70" s="240"/>
    </row>
    <row r="71" spans="1:16" ht="14.25">
      <c r="A71" s="32" t="s">
        <v>42</v>
      </c>
      <c r="B71" s="32" t="s">
        <v>43</v>
      </c>
      <c r="C71" s="32" t="s">
        <v>266</v>
      </c>
      <c r="D71" s="32" t="s">
        <v>267</v>
      </c>
      <c r="E71" s="32" t="s">
        <v>268</v>
      </c>
      <c r="I71" s="65" t="s">
        <v>414</v>
      </c>
      <c r="J71" s="50" t="s">
        <v>415</v>
      </c>
      <c r="K71" s="25">
        <v>6.9</v>
      </c>
      <c r="L71" s="25">
        <v>4.9000000000000004</v>
      </c>
      <c r="M71" s="25">
        <v>1500</v>
      </c>
      <c r="N71" s="25">
        <v>7350</v>
      </c>
      <c r="O71" s="25" t="s">
        <v>402</v>
      </c>
      <c r="P71" s="240"/>
    </row>
    <row r="72" spans="1:16" ht="14.25">
      <c r="A72" s="133" t="s">
        <v>269</v>
      </c>
      <c r="B72" s="25" t="s">
        <v>347</v>
      </c>
      <c r="C72" s="42">
        <v>17.899999999999999</v>
      </c>
      <c r="D72" s="42">
        <v>1385</v>
      </c>
      <c r="E72" s="26">
        <f>C72*D72</f>
        <v>24791.5</v>
      </c>
      <c r="I72" s="130" t="s">
        <v>269</v>
      </c>
      <c r="J72" s="50" t="s">
        <v>347</v>
      </c>
      <c r="K72" s="42">
        <v>29</v>
      </c>
      <c r="L72" s="42">
        <v>17.899999999999999</v>
      </c>
      <c r="M72" s="42">
        <v>5000</v>
      </c>
      <c r="N72" s="42">
        <f t="shared" ref="N72:N77" si="5">M72*L72</f>
        <v>89500</v>
      </c>
      <c r="O72" s="25" t="s">
        <v>416</v>
      </c>
      <c r="P72" s="240"/>
    </row>
    <row r="73" spans="1:16" ht="14.25">
      <c r="A73" s="133" t="s">
        <v>271</v>
      </c>
      <c r="B73" s="25" t="s">
        <v>417</v>
      </c>
      <c r="C73" s="42">
        <v>19.899999999999999</v>
      </c>
      <c r="D73" s="42">
        <v>824</v>
      </c>
      <c r="E73" s="26">
        <f>C73*D73</f>
        <v>16397.599999999999</v>
      </c>
      <c r="I73" s="130" t="s">
        <v>271</v>
      </c>
      <c r="J73" s="50" t="s">
        <v>417</v>
      </c>
      <c r="K73" s="42">
        <v>39</v>
      </c>
      <c r="L73" s="42">
        <v>19.899999999999999</v>
      </c>
      <c r="M73" s="42">
        <v>3000</v>
      </c>
      <c r="N73" s="42">
        <f t="shared" si="5"/>
        <v>59700</v>
      </c>
      <c r="O73" s="25" t="s">
        <v>416</v>
      </c>
      <c r="P73" s="240"/>
    </row>
    <row r="74" spans="1:16" ht="14.25">
      <c r="A74" s="133" t="s">
        <v>412</v>
      </c>
      <c r="B74" s="25" t="s">
        <v>573</v>
      </c>
      <c r="C74" s="42">
        <v>9.9</v>
      </c>
      <c r="D74" s="42">
        <v>145</v>
      </c>
      <c r="E74" s="26">
        <f>C74*D74</f>
        <v>1435.5</v>
      </c>
      <c r="I74" s="130" t="s">
        <v>419</v>
      </c>
      <c r="J74" s="50" t="s">
        <v>420</v>
      </c>
      <c r="K74" s="42">
        <v>49</v>
      </c>
      <c r="L74" s="42">
        <v>29.9</v>
      </c>
      <c r="M74" s="42">
        <v>1000</v>
      </c>
      <c r="N74" s="42">
        <f t="shared" si="5"/>
        <v>29900</v>
      </c>
      <c r="O74" s="25" t="s">
        <v>416</v>
      </c>
      <c r="P74" s="240"/>
    </row>
    <row r="75" spans="1:16" ht="14.25">
      <c r="I75" s="130" t="s">
        <v>275</v>
      </c>
      <c r="J75" s="50" t="s">
        <v>421</v>
      </c>
      <c r="K75" s="42">
        <v>29.9</v>
      </c>
      <c r="L75" s="25">
        <v>19.899999999999999</v>
      </c>
      <c r="M75" s="25">
        <v>800</v>
      </c>
      <c r="N75" s="42">
        <f t="shared" si="5"/>
        <v>15920</v>
      </c>
      <c r="O75" s="25" t="s">
        <v>416</v>
      </c>
      <c r="P75" s="240"/>
    </row>
    <row r="76" spans="1:16" ht="14.25">
      <c r="I76" s="130" t="s">
        <v>422</v>
      </c>
      <c r="J76" s="50" t="s">
        <v>423</v>
      </c>
      <c r="K76" s="42">
        <v>39.9</v>
      </c>
      <c r="L76" s="25">
        <v>25</v>
      </c>
      <c r="M76" s="25">
        <v>1000</v>
      </c>
      <c r="N76" s="42">
        <f t="shared" si="5"/>
        <v>25000</v>
      </c>
      <c r="O76" s="25" t="s">
        <v>416</v>
      </c>
      <c r="P76" s="240"/>
    </row>
    <row r="77" spans="1:16" ht="14.25">
      <c r="A77" s="267" t="s">
        <v>110</v>
      </c>
      <c r="B77" s="267" t="s">
        <v>424</v>
      </c>
      <c r="C77" s="267"/>
      <c r="D77" s="267"/>
      <c r="E77" s="74"/>
      <c r="I77" s="134" t="s">
        <v>425</v>
      </c>
      <c r="J77" s="66" t="s">
        <v>426</v>
      </c>
      <c r="K77" s="33">
        <v>49.9</v>
      </c>
      <c r="L77" s="45">
        <v>29.9</v>
      </c>
      <c r="M77" s="45">
        <v>1000</v>
      </c>
      <c r="N77" s="33">
        <f t="shared" si="5"/>
        <v>29900</v>
      </c>
      <c r="O77" s="25" t="s">
        <v>416</v>
      </c>
      <c r="P77" s="240"/>
    </row>
    <row r="78" spans="1:16" ht="14.25">
      <c r="A78" s="267"/>
      <c r="B78" s="58" t="s">
        <v>427</v>
      </c>
      <c r="C78" s="58" t="s">
        <v>428</v>
      </c>
      <c r="D78" s="58" t="s">
        <v>429</v>
      </c>
      <c r="E78" s="74"/>
      <c r="I78" s="268" t="s">
        <v>430</v>
      </c>
      <c r="J78" s="268"/>
      <c r="K78" s="268"/>
      <c r="L78" s="268"/>
      <c r="M78" s="268"/>
      <c r="N78" s="268"/>
      <c r="O78" s="268"/>
      <c r="P78" s="268"/>
    </row>
    <row r="79" spans="1:16" ht="14.25">
      <c r="A79" s="70">
        <v>46116</v>
      </c>
      <c r="B79" s="42">
        <v>4033</v>
      </c>
      <c r="C79" s="42">
        <v>1372.85</v>
      </c>
      <c r="D79" s="42">
        <v>2234</v>
      </c>
      <c r="E79" s="22" t="s">
        <v>431</v>
      </c>
    </row>
    <row r="80" spans="1:16" ht="14.25">
      <c r="A80" s="70">
        <v>46124</v>
      </c>
      <c r="B80" s="42">
        <v>40490</v>
      </c>
      <c r="C80" s="42">
        <v>5092.3999999999996</v>
      </c>
      <c r="D80" s="42">
        <v>19856</v>
      </c>
      <c r="E80" s="22" t="s">
        <v>432</v>
      </c>
    </row>
  </sheetData>
  <sheetProtection formatCells="0" formatColumns="0" formatRows="0" insertColumns="0" insertRows="0" insertHyperlinks="0" deleteColumns="0" deleteRows="0" sort="0" autoFilter="0" pivotTables="0"/>
  <mergeCells count="70">
    <mergeCell ref="I56:J59"/>
    <mergeCell ref="E58:F59"/>
    <mergeCell ref="G58:H59"/>
    <mergeCell ref="E60:J61"/>
    <mergeCell ref="G12:J13"/>
    <mergeCell ref="I41:K42"/>
    <mergeCell ref="K56:M61"/>
    <mergeCell ref="P65:P77"/>
    <mergeCell ref="E6:G7"/>
    <mergeCell ref="G16:J17"/>
    <mergeCell ref="I25:K26"/>
    <mergeCell ref="O25:Q31"/>
    <mergeCell ref="I27:K28"/>
    <mergeCell ref="I29:K31"/>
    <mergeCell ref="I32:K37"/>
    <mergeCell ref="O32:Q37"/>
    <mergeCell ref="I38:K39"/>
    <mergeCell ref="O38:Q39"/>
    <mergeCell ref="O41:Q44"/>
    <mergeCell ref="I43:K44"/>
    <mergeCell ref="H49:K50"/>
    <mergeCell ref="E56:F57"/>
    <mergeCell ref="G56:H57"/>
    <mergeCell ref="A68:G68"/>
    <mergeCell ref="B77:D77"/>
    <mergeCell ref="I78:P78"/>
    <mergeCell ref="A12:A13"/>
    <mergeCell ref="A14:A15"/>
    <mergeCell ref="A16:A18"/>
    <mergeCell ref="A25:A31"/>
    <mergeCell ref="A32:A37"/>
    <mergeCell ref="A38:A40"/>
    <mergeCell ref="A41:A44"/>
    <mergeCell ref="A49:A50"/>
    <mergeCell ref="A51:A52"/>
    <mergeCell ref="A64:A67"/>
    <mergeCell ref="A77:A78"/>
    <mergeCell ref="F65:F67"/>
    <mergeCell ref="G65:G67"/>
    <mergeCell ref="H52:K52"/>
    <mergeCell ref="O52:Q52"/>
    <mergeCell ref="R52:S52"/>
    <mergeCell ref="E55:F55"/>
    <mergeCell ref="G55:H55"/>
    <mergeCell ref="I55:J55"/>
    <mergeCell ref="K55:M55"/>
    <mergeCell ref="O49:Q49"/>
    <mergeCell ref="R49:S49"/>
    <mergeCell ref="O50:Q50"/>
    <mergeCell ref="R50:S50"/>
    <mergeCell ref="H51:K51"/>
    <mergeCell ref="O51:Q51"/>
    <mergeCell ref="R51:S51"/>
    <mergeCell ref="I40:K40"/>
    <mergeCell ref="O40:Q40"/>
    <mergeCell ref="A47:S47"/>
    <mergeCell ref="A48:B48"/>
    <mergeCell ref="H48:K48"/>
    <mergeCell ref="O48:Q48"/>
    <mergeCell ref="R48:S48"/>
    <mergeCell ref="G15:J15"/>
    <mergeCell ref="G18:J18"/>
    <mergeCell ref="A23:Q23"/>
    <mergeCell ref="I24:K24"/>
    <mergeCell ref="O24:Q24"/>
    <mergeCell ref="A1:G1"/>
    <mergeCell ref="A10:J10"/>
    <mergeCell ref="A11:B11"/>
    <mergeCell ref="G11:J11"/>
    <mergeCell ref="G14:J14"/>
  </mergeCells>
  <phoneticPr fontId="15" type="noConversion"/>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S80"/>
  <sheetViews>
    <sheetView topLeftCell="D65" workbookViewId="0">
      <selection activeCell="G50" sqref="G50"/>
    </sheetView>
  </sheetViews>
  <sheetFormatPr defaultColWidth="9" defaultRowHeight="13.5"/>
  <cols>
    <col min="1" max="1" width="11.75" customWidth="1"/>
    <col min="2" max="2" width="12.625" customWidth="1"/>
    <col min="3" max="3" width="26.125" customWidth="1"/>
    <col min="4" max="4" width="14.875" customWidth="1"/>
    <col min="5" max="5" width="15.125" customWidth="1"/>
    <col min="6" max="6" width="17.25" customWidth="1"/>
    <col min="7" max="7" width="19.625" customWidth="1"/>
    <col min="8" max="8" width="14.5" customWidth="1"/>
    <col min="9" max="9" width="12.125" customWidth="1"/>
    <col min="10" max="10" width="22.625" customWidth="1"/>
    <col min="11" max="11" width="12.625" customWidth="1"/>
    <col min="12" max="12" width="14.75" customWidth="1"/>
    <col min="13" max="13" width="13.5" customWidth="1"/>
    <col min="14" max="14" width="10.25" customWidth="1"/>
    <col min="15" max="15" width="17.375" customWidth="1"/>
    <col min="16" max="16" width="31.875" customWidth="1"/>
    <col min="17" max="18" width="11.25" customWidth="1"/>
    <col min="19" max="19" width="15.75" customWidth="1"/>
  </cols>
  <sheetData>
    <row r="1" spans="1:10" ht="14.25" customHeight="1">
      <c r="A1" s="136" t="s">
        <v>574</v>
      </c>
      <c r="B1" s="137"/>
      <c r="C1" s="137"/>
      <c r="D1" s="137"/>
      <c r="E1" s="137"/>
      <c r="F1" s="137"/>
      <c r="G1" s="137"/>
    </row>
    <row r="2" spans="1:10" ht="14.25">
      <c r="A2" s="4" t="s">
        <v>1</v>
      </c>
      <c r="B2" s="4" t="s">
        <v>2</v>
      </c>
      <c r="C2" s="4" t="s">
        <v>3</v>
      </c>
      <c r="D2" s="4" t="s">
        <v>4</v>
      </c>
      <c r="E2" s="4" t="s">
        <v>5</v>
      </c>
      <c r="F2" s="4" t="s">
        <v>6</v>
      </c>
      <c r="G2" s="4" t="s">
        <v>7</v>
      </c>
    </row>
    <row r="3" spans="1:10" ht="14.25">
      <c r="A3" s="5" t="s">
        <v>9</v>
      </c>
      <c r="B3" s="17">
        <v>1685</v>
      </c>
      <c r="C3" s="17">
        <v>1561</v>
      </c>
      <c r="D3" s="7">
        <f t="shared" ref="D3:D7" si="0">(C3-B3)/B3</f>
        <v>-7.3590504451038596E-2</v>
      </c>
      <c r="E3" s="7">
        <f>B3/(B3+B4+B5)</f>
        <v>0.31566129636568002</v>
      </c>
      <c r="F3" s="7">
        <f>C3/(C3+C4+C5)</f>
        <v>0.17946654403311099</v>
      </c>
      <c r="G3" s="7">
        <f>F3-E3</f>
        <v>-0.136194752332569</v>
      </c>
    </row>
    <row r="4" spans="1:10" ht="14.25">
      <c r="A4" s="8" t="s">
        <v>11</v>
      </c>
      <c r="B4" s="17">
        <v>3025</v>
      </c>
      <c r="C4" s="17">
        <v>6547</v>
      </c>
      <c r="D4" s="7">
        <f t="shared" si="0"/>
        <v>1.1642975206611601</v>
      </c>
      <c r="E4" s="7">
        <f>B4/(B4+B5+B3)</f>
        <v>0.56669164481079104</v>
      </c>
      <c r="F4" s="7">
        <f>C4/(C3+C4+C5)</f>
        <v>0.75270177052195897</v>
      </c>
      <c r="G4" s="7">
        <f>F4-E4</f>
        <v>0.18601012571116801</v>
      </c>
    </row>
    <row r="5" spans="1:10" ht="14.25">
      <c r="A5" s="8" t="s">
        <v>12</v>
      </c>
      <c r="B5" s="17">
        <v>628</v>
      </c>
      <c r="C5" s="17">
        <v>590</v>
      </c>
      <c r="D5" s="7">
        <f t="shared" si="0"/>
        <v>-6.0509554140127403E-2</v>
      </c>
      <c r="E5" s="13">
        <f>B5/(B5+B4+B3)</f>
        <v>0.11764705882352899</v>
      </c>
      <c r="F5" s="13">
        <f>C5/(C3+C4+C5)</f>
        <v>6.7831685444929901E-2</v>
      </c>
      <c r="G5" s="13">
        <f>F5-E5</f>
        <v>-4.9815373378599502E-2</v>
      </c>
    </row>
    <row r="6" spans="1:10" ht="29.65" customHeight="1">
      <c r="A6" s="8" t="s">
        <v>13</v>
      </c>
      <c r="B6" s="18">
        <v>407</v>
      </c>
      <c r="C6" s="18">
        <v>485</v>
      </c>
      <c r="D6" s="7">
        <f t="shared" si="0"/>
        <v>0.19164619164619201</v>
      </c>
      <c r="E6" s="249" t="s">
        <v>575</v>
      </c>
      <c r="F6" s="250"/>
      <c r="G6" s="250"/>
    </row>
    <row r="7" spans="1:10" ht="42.75" customHeight="1">
      <c r="A7" s="19" t="s">
        <v>14</v>
      </c>
      <c r="B7" s="20">
        <v>372</v>
      </c>
      <c r="C7" s="21">
        <v>437</v>
      </c>
      <c r="D7" s="7">
        <f t="shared" si="0"/>
        <v>0.17473118279569899</v>
      </c>
      <c r="E7" s="250"/>
      <c r="F7" s="250"/>
      <c r="G7" s="250"/>
    </row>
    <row r="10" spans="1:10" ht="14.25">
      <c r="A10" s="141" t="s">
        <v>576</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1767574</v>
      </c>
      <c r="D12" s="26">
        <v>1289159</v>
      </c>
      <c r="E12" s="27">
        <f t="shared" ref="E12:E18" si="1">(C12-D12)/D12</f>
        <v>0.37110627936507401</v>
      </c>
      <c r="F12" s="28">
        <f>C12/4850000</f>
        <v>0.36444824742268001</v>
      </c>
      <c r="G12" s="228" t="s">
        <v>516</v>
      </c>
      <c r="H12" s="254"/>
      <c r="I12" s="254"/>
      <c r="J12" s="255"/>
    </row>
    <row r="13" spans="1:10" ht="14.25">
      <c r="A13" s="164"/>
      <c r="B13" s="25" t="s">
        <v>25</v>
      </c>
      <c r="C13" s="26">
        <v>120377</v>
      </c>
      <c r="D13" s="26">
        <v>100360</v>
      </c>
      <c r="E13" s="27">
        <f t="shared" si="1"/>
        <v>0.199451972897569</v>
      </c>
      <c r="F13" s="28">
        <f t="shared" ref="F13:F18" si="2">C13/4850000</f>
        <v>2.4819999999999998E-2</v>
      </c>
      <c r="G13" s="256"/>
      <c r="H13" s="257"/>
      <c r="I13" s="257"/>
      <c r="J13" s="258"/>
    </row>
    <row r="14" spans="1:10" ht="53.1" customHeight="1">
      <c r="A14" s="164" t="s">
        <v>26</v>
      </c>
      <c r="B14" s="25" t="s">
        <v>27</v>
      </c>
      <c r="C14" s="26">
        <v>2746695.14</v>
      </c>
      <c r="D14" s="26">
        <v>2303340.92</v>
      </c>
      <c r="E14" s="27">
        <f t="shared" si="1"/>
        <v>0.192483108405854</v>
      </c>
      <c r="F14" s="28">
        <f t="shared" si="2"/>
        <v>0.56632889484536098</v>
      </c>
      <c r="G14" s="146" t="s">
        <v>546</v>
      </c>
      <c r="H14" s="147"/>
      <c r="I14" s="147"/>
      <c r="J14" s="147"/>
    </row>
    <row r="15" spans="1:10" ht="32.450000000000003" customHeight="1">
      <c r="A15" s="164"/>
      <c r="B15" s="25" t="s">
        <v>29</v>
      </c>
      <c r="C15" s="26"/>
      <c r="D15" s="26"/>
      <c r="E15" s="27" t="e">
        <f t="shared" si="1"/>
        <v>#DIV/0!</v>
      </c>
      <c r="F15" s="28">
        <f t="shared" si="2"/>
        <v>0</v>
      </c>
      <c r="G15" s="146" t="s">
        <v>547</v>
      </c>
      <c r="H15" s="147"/>
      <c r="I15" s="147"/>
      <c r="J15" s="147"/>
    </row>
    <row r="16" spans="1:10" ht="14.25">
      <c r="A16" s="164" t="s">
        <v>31</v>
      </c>
      <c r="B16" s="25" t="s">
        <v>34</v>
      </c>
      <c r="C16" s="26">
        <v>29634.05</v>
      </c>
      <c r="D16" s="26">
        <v>1923.43</v>
      </c>
      <c r="E16" s="27">
        <f t="shared" si="1"/>
        <v>14.406877297328201</v>
      </c>
      <c r="F16" s="28">
        <f t="shared" si="2"/>
        <v>6.1101134020618598E-3</v>
      </c>
      <c r="G16" s="195" t="s">
        <v>548</v>
      </c>
      <c r="H16" s="176"/>
      <c r="I16" s="176"/>
      <c r="J16" s="177"/>
    </row>
    <row r="17" spans="1:17" ht="14.25">
      <c r="A17" s="164"/>
      <c r="B17" s="25" t="s">
        <v>36</v>
      </c>
      <c r="C17" s="26">
        <v>74148</v>
      </c>
      <c r="D17" s="26">
        <v>239875</v>
      </c>
      <c r="E17" s="27">
        <f t="shared" si="1"/>
        <v>-0.69088900468994296</v>
      </c>
      <c r="F17" s="28">
        <f t="shared" si="2"/>
        <v>1.5288247422680401E-2</v>
      </c>
      <c r="G17" s="195"/>
      <c r="H17" s="176"/>
      <c r="I17" s="176"/>
      <c r="J17" s="177"/>
    </row>
    <row r="18" spans="1:17" ht="30.75" customHeight="1">
      <c r="A18" s="164"/>
      <c r="B18" s="25" t="s">
        <v>37</v>
      </c>
      <c r="C18" s="26">
        <v>293000</v>
      </c>
      <c r="D18" s="26">
        <v>416000</v>
      </c>
      <c r="E18" s="27">
        <f t="shared" si="1"/>
        <v>-0.29567307692307698</v>
      </c>
      <c r="F18" s="28">
        <f t="shared" si="2"/>
        <v>6.04123711340206E-2</v>
      </c>
      <c r="G18" s="150" t="s">
        <v>549</v>
      </c>
      <c r="H18" s="161"/>
      <c r="I18" s="161"/>
      <c r="J18" s="161"/>
    </row>
    <row r="19" spans="1:17" ht="14.25">
      <c r="C19" s="30"/>
      <c r="D19" s="30"/>
      <c r="E19" s="31"/>
    </row>
    <row r="23" spans="1:17" ht="14.25">
      <c r="A23" s="251" t="s">
        <v>577</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289</v>
      </c>
      <c r="E24" s="32" t="s">
        <v>578</v>
      </c>
      <c r="F24" s="32" t="s">
        <v>129</v>
      </c>
      <c r="G24" s="32" t="s">
        <v>19</v>
      </c>
      <c r="H24" s="32" t="s">
        <v>20</v>
      </c>
      <c r="I24" s="153" t="s">
        <v>21</v>
      </c>
      <c r="J24" s="153"/>
      <c r="K24" s="153"/>
      <c r="L24" s="32" t="s">
        <v>289</v>
      </c>
      <c r="M24" s="32" t="s">
        <v>290</v>
      </c>
      <c r="N24" s="32" t="s">
        <v>291</v>
      </c>
      <c r="O24" s="153" t="s">
        <v>292</v>
      </c>
      <c r="P24" s="153"/>
      <c r="Q24" s="153"/>
    </row>
    <row r="25" spans="1:17" ht="35.65" customHeight="1">
      <c r="A25" s="212" t="s">
        <v>44</v>
      </c>
      <c r="B25" s="128" t="s">
        <v>45</v>
      </c>
      <c r="C25" s="34" t="s">
        <v>46</v>
      </c>
      <c r="D25" s="35">
        <v>1100000</v>
      </c>
      <c r="E25" s="36">
        <v>1077963</v>
      </c>
      <c r="F25" s="36">
        <v>582978</v>
      </c>
      <c r="G25" s="37">
        <f t="shared" ref="G25:G28" si="3">(E25-F25)/F25</f>
        <v>0.84906291489558805</v>
      </c>
      <c r="H25" s="38">
        <f>E25/4850000</f>
        <v>0.222260412371134</v>
      </c>
      <c r="I25" s="189" t="s">
        <v>552</v>
      </c>
      <c r="J25" s="190"/>
      <c r="K25" s="190"/>
      <c r="L25" s="39">
        <v>1100000</v>
      </c>
      <c r="M25" s="39">
        <v>1300000</v>
      </c>
      <c r="N25" s="39">
        <v>1300000</v>
      </c>
      <c r="O25" s="150" t="s">
        <v>364</v>
      </c>
      <c r="P25" s="150"/>
      <c r="Q25" s="150"/>
    </row>
    <row r="26" spans="1:17" ht="27.95" customHeight="1">
      <c r="A26" s="213"/>
      <c r="B26" s="131" t="s">
        <v>48</v>
      </c>
      <c r="C26" s="41" t="s">
        <v>49</v>
      </c>
      <c r="D26" s="35">
        <v>500000</v>
      </c>
      <c r="E26" s="76">
        <v>551366</v>
      </c>
      <c r="F26" s="76">
        <v>144528</v>
      </c>
      <c r="G26" s="78">
        <f t="shared" si="3"/>
        <v>2.8149424333001201</v>
      </c>
      <c r="H26" s="38">
        <f t="shared" ref="H26:H44" si="4">E26/4850000</f>
        <v>0.113683711340206</v>
      </c>
      <c r="I26" s="192"/>
      <c r="J26" s="193"/>
      <c r="K26" s="193"/>
      <c r="L26" s="39">
        <v>500000</v>
      </c>
      <c r="M26" s="39">
        <v>850000</v>
      </c>
      <c r="N26" s="39">
        <v>750000</v>
      </c>
      <c r="O26" s="150"/>
      <c r="P26" s="150"/>
      <c r="Q26" s="150"/>
    </row>
    <row r="27" spans="1:17" ht="26.85" customHeight="1">
      <c r="A27" s="213"/>
      <c r="B27" s="131" t="s">
        <v>50</v>
      </c>
      <c r="C27" s="41" t="s">
        <v>51</v>
      </c>
      <c r="D27" s="35">
        <v>450000</v>
      </c>
      <c r="E27" s="76">
        <v>551596</v>
      </c>
      <c r="F27" s="76">
        <v>638258</v>
      </c>
      <c r="G27" s="78">
        <f t="shared" si="3"/>
        <v>-0.135778948324972</v>
      </c>
      <c r="H27" s="38">
        <f t="shared" si="4"/>
        <v>0.113731134020619</v>
      </c>
      <c r="I27" s="189" t="s">
        <v>553</v>
      </c>
      <c r="J27" s="190"/>
      <c r="K27" s="190"/>
      <c r="L27" s="39">
        <v>450000</v>
      </c>
      <c r="M27" s="39">
        <v>550000</v>
      </c>
      <c r="N27" s="39">
        <v>500000</v>
      </c>
      <c r="O27" s="150"/>
      <c r="P27" s="150"/>
      <c r="Q27" s="150"/>
    </row>
    <row r="28" spans="1:17" ht="14.25">
      <c r="A28" s="213"/>
      <c r="B28" s="131" t="s">
        <v>53</v>
      </c>
      <c r="C28" s="41" t="s">
        <v>54</v>
      </c>
      <c r="D28" s="35">
        <v>400000</v>
      </c>
      <c r="E28" s="76">
        <v>113253</v>
      </c>
      <c r="F28" s="76">
        <v>182374</v>
      </c>
      <c r="G28" s="78">
        <f t="shared" si="3"/>
        <v>-0.379006875980129</v>
      </c>
      <c r="H28" s="38">
        <f t="shared" si="4"/>
        <v>2.33511340206186E-2</v>
      </c>
      <c r="I28" s="192"/>
      <c r="J28" s="193"/>
      <c r="K28" s="193"/>
      <c r="L28" s="39">
        <v>400000</v>
      </c>
      <c r="M28" s="39">
        <v>600000</v>
      </c>
      <c r="N28" s="39">
        <v>550000</v>
      </c>
      <c r="O28" s="150"/>
      <c r="P28" s="150"/>
      <c r="Q28" s="150"/>
    </row>
    <row r="29" spans="1:17" ht="14.25">
      <c r="A29" s="213"/>
      <c r="B29" s="129" t="s">
        <v>55</v>
      </c>
      <c r="C29" s="43" t="s">
        <v>56</v>
      </c>
      <c r="D29" s="35">
        <v>100000</v>
      </c>
      <c r="E29" s="36">
        <v>50769</v>
      </c>
      <c r="F29" s="29" t="s">
        <v>57</v>
      </c>
      <c r="G29" s="37" t="s">
        <v>57</v>
      </c>
      <c r="H29" s="38">
        <f t="shared" si="4"/>
        <v>1.0467835051546401E-2</v>
      </c>
      <c r="I29" s="189" t="s">
        <v>554</v>
      </c>
      <c r="J29" s="190"/>
      <c r="K29" s="190"/>
      <c r="L29" s="39">
        <v>100000</v>
      </c>
      <c r="M29" s="39">
        <v>180000</v>
      </c>
      <c r="N29" s="39">
        <v>150000</v>
      </c>
      <c r="O29" s="150"/>
      <c r="P29" s="150"/>
      <c r="Q29" s="150"/>
    </row>
    <row r="30" spans="1:17" ht="14.25">
      <c r="A30" s="213"/>
      <c r="B30" s="130" t="s">
        <v>137</v>
      </c>
      <c r="C30" s="43" t="s">
        <v>138</v>
      </c>
      <c r="D30" s="35">
        <v>30000</v>
      </c>
      <c r="E30" s="36">
        <v>20298</v>
      </c>
      <c r="F30" s="29" t="s">
        <v>57</v>
      </c>
      <c r="G30" s="37" t="s">
        <v>57</v>
      </c>
      <c r="H30" s="38">
        <f t="shared" si="4"/>
        <v>4.1851546391752604E-3</v>
      </c>
      <c r="I30" s="195"/>
      <c r="J30" s="176"/>
      <c r="K30" s="176"/>
      <c r="L30" s="39">
        <v>30000</v>
      </c>
      <c r="M30" s="39">
        <v>60000</v>
      </c>
      <c r="N30" s="39">
        <v>50000</v>
      </c>
      <c r="O30" s="150"/>
      <c r="P30" s="150"/>
      <c r="Q30" s="150"/>
    </row>
    <row r="31" spans="1:17" ht="42.2" customHeight="1">
      <c r="A31" s="168"/>
      <c r="B31" s="129" t="s">
        <v>232</v>
      </c>
      <c r="C31" s="43" t="s">
        <v>233</v>
      </c>
      <c r="D31" s="35">
        <v>100000</v>
      </c>
      <c r="E31" s="36">
        <v>18207</v>
      </c>
      <c r="F31" s="29" t="s">
        <v>57</v>
      </c>
      <c r="G31" s="37" t="s">
        <v>57</v>
      </c>
      <c r="H31" s="38">
        <f t="shared" si="4"/>
        <v>3.7540206185567001E-3</v>
      </c>
      <c r="I31" s="192"/>
      <c r="J31" s="193"/>
      <c r="K31" s="193"/>
      <c r="L31" s="39">
        <v>100000</v>
      </c>
      <c r="M31" s="39">
        <v>300000</v>
      </c>
      <c r="N31" s="39">
        <v>250000</v>
      </c>
      <c r="O31" s="150"/>
      <c r="P31" s="150"/>
      <c r="Q31" s="150"/>
    </row>
    <row r="32" spans="1:17" ht="14.25">
      <c r="A32" s="165" t="s">
        <v>59</v>
      </c>
      <c r="B32" s="129" t="s">
        <v>60</v>
      </c>
      <c r="C32" s="43" t="s">
        <v>61</v>
      </c>
      <c r="D32" s="35">
        <v>70000</v>
      </c>
      <c r="E32" s="36">
        <v>45278</v>
      </c>
      <c r="F32" s="26">
        <v>62424</v>
      </c>
      <c r="G32" s="37">
        <f t="shared" ref="G32:G39" si="5">(E32-F32)/F32</f>
        <v>-0.274669998718442</v>
      </c>
      <c r="H32" s="38">
        <f t="shared" si="4"/>
        <v>9.3356701030927799E-3</v>
      </c>
      <c r="I32" s="189" t="s">
        <v>555</v>
      </c>
      <c r="J32" s="190"/>
      <c r="K32" s="190"/>
      <c r="L32" s="39">
        <v>70000</v>
      </c>
      <c r="M32" s="39">
        <v>100000</v>
      </c>
      <c r="N32" s="39">
        <v>90000</v>
      </c>
      <c r="O32" s="150" t="s">
        <v>298</v>
      </c>
      <c r="P32" s="150"/>
      <c r="Q32" s="150"/>
    </row>
    <row r="33" spans="1:19" ht="14.25">
      <c r="A33" s="165"/>
      <c r="B33" s="131" t="s">
        <v>63</v>
      </c>
      <c r="C33" s="41" t="s">
        <v>64</v>
      </c>
      <c r="D33" s="35">
        <v>15000</v>
      </c>
      <c r="E33" s="76">
        <v>10625</v>
      </c>
      <c r="F33" s="57">
        <v>18071</v>
      </c>
      <c r="G33" s="37">
        <f t="shared" si="5"/>
        <v>-0.41204139228598302</v>
      </c>
      <c r="H33" s="38">
        <f t="shared" si="4"/>
        <v>2.19072164948454E-3</v>
      </c>
      <c r="I33" s="195"/>
      <c r="J33" s="176"/>
      <c r="K33" s="176"/>
      <c r="L33" s="39">
        <v>15000</v>
      </c>
      <c r="M33" s="39">
        <v>35000</v>
      </c>
      <c r="N33" s="39">
        <v>30000</v>
      </c>
      <c r="O33" s="150"/>
      <c r="P33" s="150"/>
      <c r="Q33" s="150"/>
    </row>
    <row r="34" spans="1:19" ht="14.25">
      <c r="A34" s="165"/>
      <c r="B34" s="131" t="s">
        <v>65</v>
      </c>
      <c r="C34" s="41" t="s">
        <v>66</v>
      </c>
      <c r="D34" s="35">
        <v>90000</v>
      </c>
      <c r="E34" s="76">
        <v>68749</v>
      </c>
      <c r="F34" s="57">
        <v>53473</v>
      </c>
      <c r="G34" s="37">
        <f t="shared" si="5"/>
        <v>0.28567688366091298</v>
      </c>
      <c r="H34" s="38">
        <f t="shared" si="4"/>
        <v>1.4175051546391799E-2</v>
      </c>
      <c r="I34" s="195"/>
      <c r="J34" s="176"/>
      <c r="K34" s="176"/>
      <c r="L34" s="39">
        <v>90000</v>
      </c>
      <c r="M34" s="39">
        <v>60000</v>
      </c>
      <c r="N34" s="39">
        <v>50000</v>
      </c>
      <c r="O34" s="150"/>
      <c r="P34" s="150"/>
      <c r="Q34" s="150"/>
    </row>
    <row r="35" spans="1:19" ht="14.25">
      <c r="A35" s="165"/>
      <c r="B35" s="131" t="s">
        <v>67</v>
      </c>
      <c r="C35" s="41" t="s">
        <v>68</v>
      </c>
      <c r="D35" s="35">
        <v>15000</v>
      </c>
      <c r="E35" s="76">
        <v>18134</v>
      </c>
      <c r="F35" s="57">
        <v>14236</v>
      </c>
      <c r="G35" s="37">
        <f t="shared" si="5"/>
        <v>0.27381286878336603</v>
      </c>
      <c r="H35" s="38">
        <f t="shared" si="4"/>
        <v>3.7389690721649502E-3</v>
      </c>
      <c r="I35" s="195"/>
      <c r="J35" s="176"/>
      <c r="K35" s="176"/>
      <c r="L35" s="39">
        <v>15000</v>
      </c>
      <c r="M35" s="39">
        <v>25000</v>
      </c>
      <c r="N35" s="39">
        <v>20000</v>
      </c>
      <c r="O35" s="150"/>
      <c r="P35" s="150"/>
      <c r="Q35" s="150"/>
    </row>
    <row r="36" spans="1:19" ht="14.25">
      <c r="A36" s="165"/>
      <c r="B36" s="129" t="s">
        <v>69</v>
      </c>
      <c r="C36" s="43" t="s">
        <v>70</v>
      </c>
      <c r="D36" s="35">
        <v>75000</v>
      </c>
      <c r="E36" s="36">
        <v>70240</v>
      </c>
      <c r="F36" s="57">
        <v>64111</v>
      </c>
      <c r="G36" s="37">
        <f t="shared" si="5"/>
        <v>9.5599819063811195E-2</v>
      </c>
      <c r="H36" s="38">
        <f t="shared" si="4"/>
        <v>1.44824742268041E-2</v>
      </c>
      <c r="I36" s="195"/>
      <c r="J36" s="176"/>
      <c r="K36" s="176"/>
      <c r="L36" s="39">
        <v>75000</v>
      </c>
      <c r="M36" s="39">
        <v>100000</v>
      </c>
      <c r="N36" s="39">
        <v>90000</v>
      </c>
      <c r="O36" s="150"/>
      <c r="P36" s="150"/>
      <c r="Q36" s="150"/>
    </row>
    <row r="37" spans="1:19" ht="14.25">
      <c r="A37" s="165"/>
      <c r="B37" s="131" t="s">
        <v>72</v>
      </c>
      <c r="C37" s="41" t="s">
        <v>73</v>
      </c>
      <c r="D37" s="35">
        <v>30000</v>
      </c>
      <c r="E37" s="76">
        <v>25472</v>
      </c>
      <c r="F37" s="26">
        <v>18795</v>
      </c>
      <c r="G37" s="37">
        <f t="shared" si="5"/>
        <v>0.35525405693003498</v>
      </c>
      <c r="H37" s="38">
        <f t="shared" si="4"/>
        <v>5.2519587628866004E-3</v>
      </c>
      <c r="I37" s="192"/>
      <c r="J37" s="193"/>
      <c r="K37" s="193"/>
      <c r="L37" s="39">
        <v>30000</v>
      </c>
      <c r="M37" s="39">
        <v>50000</v>
      </c>
      <c r="N37" s="39">
        <v>40000</v>
      </c>
      <c r="O37" s="150"/>
      <c r="P37" s="150"/>
      <c r="Q37" s="150"/>
    </row>
    <row r="38" spans="1:19" ht="21.6" customHeight="1">
      <c r="A38" s="167" t="s">
        <v>74</v>
      </c>
      <c r="B38" s="46">
        <v>100127194542</v>
      </c>
      <c r="C38" s="41" t="s">
        <v>75</v>
      </c>
      <c r="D38" s="35">
        <v>35000</v>
      </c>
      <c r="E38" s="76">
        <v>33333</v>
      </c>
      <c r="F38" s="57">
        <v>20422</v>
      </c>
      <c r="G38" s="37">
        <f t="shared" si="5"/>
        <v>0.63221036137498798</v>
      </c>
      <c r="H38" s="38">
        <f t="shared" si="4"/>
        <v>6.8727835051546398E-3</v>
      </c>
      <c r="I38" s="150" t="s">
        <v>556</v>
      </c>
      <c r="J38" s="161"/>
      <c r="K38" s="161"/>
      <c r="L38" s="39">
        <v>35000</v>
      </c>
      <c r="M38" s="39">
        <v>50000</v>
      </c>
      <c r="N38" s="39">
        <v>40000</v>
      </c>
      <c r="O38" s="150" t="s">
        <v>300</v>
      </c>
      <c r="P38" s="150"/>
      <c r="Q38" s="150"/>
    </row>
    <row r="39" spans="1:19" ht="28.7" customHeight="1">
      <c r="A39" s="169"/>
      <c r="B39" s="48">
        <v>100150693764</v>
      </c>
      <c r="C39" s="49" t="s">
        <v>77</v>
      </c>
      <c r="D39" s="35">
        <v>40000</v>
      </c>
      <c r="E39" s="36">
        <v>52916</v>
      </c>
      <c r="F39" s="26">
        <v>35899</v>
      </c>
      <c r="G39" s="37">
        <f t="shared" si="5"/>
        <v>0.47402434608206401</v>
      </c>
      <c r="H39" s="38">
        <f t="shared" si="4"/>
        <v>1.0910515463917501E-2</v>
      </c>
      <c r="I39" s="161"/>
      <c r="J39" s="161"/>
      <c r="K39" s="161"/>
      <c r="L39" s="39">
        <v>40000</v>
      </c>
      <c r="M39" s="39">
        <v>70000</v>
      </c>
      <c r="N39" s="39">
        <v>60000</v>
      </c>
      <c r="O39" s="150"/>
      <c r="P39" s="150"/>
      <c r="Q39" s="150"/>
    </row>
    <row r="40" spans="1:19" ht="30.6" customHeight="1">
      <c r="A40" s="166"/>
      <c r="B40" s="46">
        <v>100325407774</v>
      </c>
      <c r="C40" s="41" t="s">
        <v>301</v>
      </c>
      <c r="D40" s="35">
        <v>15000</v>
      </c>
      <c r="E40" s="76">
        <v>21829</v>
      </c>
      <c r="F40" s="77" t="s">
        <v>57</v>
      </c>
      <c r="G40" s="78" t="s">
        <v>57</v>
      </c>
      <c r="H40" s="38">
        <f t="shared" si="4"/>
        <v>4.5008247422680401E-3</v>
      </c>
      <c r="I40" s="231" t="s">
        <v>557</v>
      </c>
      <c r="J40" s="235"/>
      <c r="K40" s="235"/>
      <c r="L40" s="39">
        <v>15000</v>
      </c>
      <c r="M40" s="39">
        <v>40000</v>
      </c>
      <c r="N40" s="39">
        <v>30000</v>
      </c>
      <c r="O40" s="242" t="s">
        <v>240</v>
      </c>
      <c r="P40" s="242"/>
      <c r="Q40" s="242"/>
    </row>
    <row r="41" spans="1:19" ht="14.25">
      <c r="A41" s="164" t="s">
        <v>78</v>
      </c>
      <c r="B41" s="129" t="s">
        <v>79</v>
      </c>
      <c r="C41" s="43" t="s">
        <v>80</v>
      </c>
      <c r="D41" s="35">
        <v>30000</v>
      </c>
      <c r="E41" s="36">
        <v>20340</v>
      </c>
      <c r="F41" s="77">
        <v>18398</v>
      </c>
      <c r="G41" s="37" t="s">
        <v>57</v>
      </c>
      <c r="H41" s="38">
        <f t="shared" si="4"/>
        <v>4.1938144329896898E-3</v>
      </c>
      <c r="I41" s="189" t="s">
        <v>146</v>
      </c>
      <c r="J41" s="190"/>
      <c r="K41" s="190"/>
      <c r="L41" s="39">
        <v>30000</v>
      </c>
      <c r="M41" s="39">
        <v>60000</v>
      </c>
      <c r="N41" s="39">
        <v>55000</v>
      </c>
      <c r="O41" s="150" t="s">
        <v>303</v>
      </c>
      <c r="P41" s="150"/>
      <c r="Q41" s="150"/>
    </row>
    <row r="42" spans="1:19" ht="14.25">
      <c r="A42" s="164"/>
      <c r="B42" s="129" t="s">
        <v>82</v>
      </c>
      <c r="C42" s="49" t="s">
        <v>83</v>
      </c>
      <c r="D42" s="35">
        <v>20000</v>
      </c>
      <c r="E42" s="36">
        <v>22443</v>
      </c>
      <c r="F42" s="77" t="s">
        <v>57</v>
      </c>
      <c r="G42" s="37" t="s">
        <v>57</v>
      </c>
      <c r="H42" s="38">
        <f t="shared" si="4"/>
        <v>4.6274226804123696E-3</v>
      </c>
      <c r="I42" s="192"/>
      <c r="J42" s="193"/>
      <c r="K42" s="193"/>
      <c r="L42" s="39">
        <v>20000</v>
      </c>
      <c r="M42" s="39">
        <v>40000</v>
      </c>
      <c r="N42" s="39">
        <v>35000</v>
      </c>
      <c r="O42" s="150"/>
      <c r="P42" s="150"/>
      <c r="Q42" s="150"/>
    </row>
    <row r="43" spans="1:19" ht="14.25">
      <c r="A43" s="164"/>
      <c r="B43" s="48">
        <v>100230489825</v>
      </c>
      <c r="C43" s="43" t="s">
        <v>84</v>
      </c>
      <c r="D43" s="35">
        <v>150000</v>
      </c>
      <c r="E43" s="36">
        <v>14921</v>
      </c>
      <c r="F43" s="77" t="s">
        <v>57</v>
      </c>
      <c r="G43" s="37" t="s">
        <v>57</v>
      </c>
      <c r="H43" s="38">
        <f t="shared" si="4"/>
        <v>3.0764948453608199E-3</v>
      </c>
      <c r="I43" s="189" t="s">
        <v>558</v>
      </c>
      <c r="J43" s="190"/>
      <c r="K43" s="190"/>
      <c r="L43" s="39">
        <v>150000</v>
      </c>
      <c r="M43" s="39">
        <v>250000</v>
      </c>
      <c r="N43" s="39">
        <v>200000</v>
      </c>
      <c r="O43" s="150"/>
      <c r="P43" s="150"/>
      <c r="Q43" s="150"/>
    </row>
    <row r="44" spans="1:19" ht="14.25">
      <c r="A44" s="164"/>
      <c r="B44" s="48">
        <v>100307579062</v>
      </c>
      <c r="C44" s="49" t="s">
        <v>85</v>
      </c>
      <c r="D44" s="35">
        <v>40000</v>
      </c>
      <c r="E44" s="36">
        <v>32448</v>
      </c>
      <c r="F44" s="77" t="s">
        <v>57</v>
      </c>
      <c r="G44" s="37" t="s">
        <v>57</v>
      </c>
      <c r="H44" s="38">
        <f t="shared" si="4"/>
        <v>6.6903092783505199E-3</v>
      </c>
      <c r="I44" s="192"/>
      <c r="J44" s="193"/>
      <c r="K44" s="193"/>
      <c r="L44" s="39">
        <v>40000</v>
      </c>
      <c r="M44" s="39">
        <v>70000</v>
      </c>
      <c r="N44" s="39">
        <v>50000</v>
      </c>
      <c r="O44" s="150"/>
      <c r="P44" s="150"/>
      <c r="Q44" s="150"/>
    </row>
    <row r="45" spans="1:19" ht="14.25">
      <c r="A45" s="52"/>
      <c r="B45" s="53"/>
      <c r="C45" s="53"/>
      <c r="D45" s="52"/>
      <c r="E45" s="53"/>
      <c r="F45" s="53"/>
      <c r="G45" s="53"/>
      <c r="H45" s="53"/>
      <c r="I45" s="53"/>
      <c r="J45" s="53"/>
      <c r="K45" s="53"/>
      <c r="L45" s="53"/>
      <c r="M45" s="53"/>
      <c r="N45" s="53"/>
      <c r="O45" s="53"/>
    </row>
    <row r="46" spans="1:19" ht="14.25">
      <c r="A46" s="52"/>
      <c r="B46" s="53"/>
      <c r="C46" s="53"/>
      <c r="D46" s="52"/>
      <c r="E46" s="53"/>
      <c r="F46" s="53"/>
      <c r="G46" s="53"/>
      <c r="H46" s="53"/>
      <c r="I46" s="53"/>
      <c r="J46" s="53"/>
      <c r="K46" s="53"/>
      <c r="L46" s="53"/>
      <c r="M46" s="53"/>
      <c r="N46" s="53"/>
      <c r="O46" s="53"/>
    </row>
    <row r="47" spans="1:19" ht="14.25">
      <c r="A47" s="237" t="s">
        <v>579</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289</v>
      </c>
      <c r="D48" s="54" t="s">
        <v>578</v>
      </c>
      <c r="E48" s="54" t="s">
        <v>129</v>
      </c>
      <c r="F48" s="54" t="s">
        <v>19</v>
      </c>
      <c r="G48" s="54" t="s">
        <v>20</v>
      </c>
      <c r="H48" s="238" t="s">
        <v>21</v>
      </c>
      <c r="I48" s="238"/>
      <c r="J48" s="238"/>
      <c r="K48" s="238"/>
      <c r="L48" s="55" t="s">
        <v>289</v>
      </c>
      <c r="M48" s="55" t="s">
        <v>290</v>
      </c>
      <c r="N48" s="55" t="s">
        <v>291</v>
      </c>
      <c r="O48" s="210" t="s">
        <v>373</v>
      </c>
      <c r="P48" s="210"/>
      <c r="Q48" s="210"/>
      <c r="R48" s="210" t="s">
        <v>374</v>
      </c>
      <c r="S48" s="210"/>
    </row>
    <row r="49" spans="1:19" ht="31.5" customHeight="1">
      <c r="A49" s="164" t="s">
        <v>88</v>
      </c>
      <c r="B49" s="40" t="s">
        <v>89</v>
      </c>
      <c r="C49" s="29" t="s">
        <v>309</v>
      </c>
      <c r="D49" s="57">
        <v>3175956.95</v>
      </c>
      <c r="E49" s="26">
        <v>2707241.84</v>
      </c>
      <c r="F49" s="28">
        <f t="shared" ref="F49:F52" si="6">(D49-E49)/E49</f>
        <v>0.173133815780566</v>
      </c>
      <c r="G49" s="28">
        <f>D49/4850000</f>
        <v>0.65483648453608301</v>
      </c>
      <c r="H49" s="150" t="s">
        <v>561</v>
      </c>
      <c r="I49" s="150"/>
      <c r="J49" s="150"/>
      <c r="K49" s="150"/>
      <c r="L49" s="29" t="s">
        <v>309</v>
      </c>
      <c r="M49" s="56" t="s">
        <v>310</v>
      </c>
      <c r="N49" s="56" t="s">
        <v>311</v>
      </c>
      <c r="O49" s="231" t="s">
        <v>376</v>
      </c>
      <c r="P49" s="232"/>
      <c r="Q49" s="233"/>
      <c r="R49" s="150" t="s">
        <v>377</v>
      </c>
      <c r="S49" s="161"/>
    </row>
    <row r="50" spans="1:19" ht="28.5" customHeight="1">
      <c r="A50" s="165"/>
      <c r="B50" s="40" t="s">
        <v>91</v>
      </c>
      <c r="C50" s="29" t="s">
        <v>314</v>
      </c>
      <c r="D50" s="57">
        <v>1675187.9</v>
      </c>
      <c r="E50" s="26">
        <v>1370039.46</v>
      </c>
      <c r="F50" s="28">
        <f t="shared" si="6"/>
        <v>0.222729672326372</v>
      </c>
      <c r="G50" s="28">
        <f>D50/4850000</f>
        <v>0.34539956701030899</v>
      </c>
      <c r="H50" s="150"/>
      <c r="I50" s="150"/>
      <c r="J50" s="150"/>
      <c r="K50" s="150"/>
      <c r="L50" s="29" t="s">
        <v>314</v>
      </c>
      <c r="M50" s="56" t="s">
        <v>252</v>
      </c>
      <c r="N50" s="56" t="s">
        <v>247</v>
      </c>
      <c r="O50" s="231" t="s">
        <v>378</v>
      </c>
      <c r="P50" s="232"/>
      <c r="Q50" s="233"/>
      <c r="R50" s="150" t="s">
        <v>379</v>
      </c>
      <c r="S50" s="161"/>
    </row>
    <row r="51" spans="1:19" ht="30.75" customHeight="1">
      <c r="A51" s="164" t="s">
        <v>92</v>
      </c>
      <c r="B51" s="58" t="s">
        <v>93</v>
      </c>
      <c r="C51" s="29" t="s">
        <v>318</v>
      </c>
      <c r="D51" s="57">
        <v>585251</v>
      </c>
      <c r="E51" s="26">
        <v>349895.25</v>
      </c>
      <c r="F51" s="28">
        <f t="shared" si="6"/>
        <v>0.67264631343237702</v>
      </c>
      <c r="G51" s="28">
        <f>D51/4850000</f>
        <v>0.120670309278351</v>
      </c>
      <c r="H51" s="150" t="s">
        <v>580</v>
      </c>
      <c r="I51" s="161"/>
      <c r="J51" s="161"/>
      <c r="K51" s="161"/>
      <c r="L51" s="29" t="s">
        <v>318</v>
      </c>
      <c r="M51" s="56" t="s">
        <v>319</v>
      </c>
      <c r="N51" s="56" t="s">
        <v>320</v>
      </c>
      <c r="O51" s="231" t="s">
        <v>381</v>
      </c>
      <c r="P51" s="232"/>
      <c r="Q51" s="233"/>
      <c r="R51" s="150" t="s">
        <v>322</v>
      </c>
      <c r="S51" s="161"/>
    </row>
    <row r="52" spans="1:19" ht="30.75" customHeight="1">
      <c r="A52" s="165"/>
      <c r="B52" s="40" t="s">
        <v>95</v>
      </c>
      <c r="C52" s="29" t="s">
        <v>247</v>
      </c>
      <c r="D52" s="57">
        <v>2215873</v>
      </c>
      <c r="E52" s="26">
        <v>1387711</v>
      </c>
      <c r="F52" s="28">
        <f t="shared" si="6"/>
        <v>0.59678275952269599</v>
      </c>
      <c r="G52" s="28">
        <f>D52/4850000</f>
        <v>0.456881030927835</v>
      </c>
      <c r="H52" s="150" t="s">
        <v>532</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9"/>
      <c r="B54" s="53"/>
      <c r="C54" s="53"/>
      <c r="D54" s="53"/>
      <c r="E54" s="53"/>
      <c r="F54" s="53"/>
      <c r="G54" s="53"/>
      <c r="H54" s="53"/>
      <c r="I54" s="53"/>
      <c r="J54" s="53"/>
      <c r="K54" s="53"/>
      <c r="L54" s="53"/>
      <c r="M54" s="53"/>
      <c r="N54" s="53"/>
      <c r="O54" s="53"/>
    </row>
    <row r="55" spans="1:19" ht="21" customHeight="1">
      <c r="A55" s="55" t="s">
        <v>581</v>
      </c>
      <c r="B55" s="55" t="s">
        <v>98</v>
      </c>
      <c r="C55" s="55" t="s">
        <v>99</v>
      </c>
      <c r="D55" s="55" t="s">
        <v>100</v>
      </c>
      <c r="E55" s="265" t="s">
        <v>101</v>
      </c>
      <c r="F55" s="266"/>
      <c r="G55" s="210" t="s">
        <v>102</v>
      </c>
      <c r="H55" s="210"/>
      <c r="I55" s="210" t="s">
        <v>21</v>
      </c>
      <c r="J55" s="265"/>
      <c r="K55" s="210" t="s">
        <v>564</v>
      </c>
      <c r="L55" s="210"/>
      <c r="M55" s="210"/>
      <c r="N55" s="81"/>
    </row>
    <row r="56" spans="1:19" ht="29.25" customHeight="1">
      <c r="A56" s="25" t="s">
        <v>89</v>
      </c>
      <c r="B56" s="26">
        <v>11133</v>
      </c>
      <c r="C56" s="26">
        <v>981953</v>
      </c>
      <c r="D56" s="60">
        <v>88.2</v>
      </c>
      <c r="E56" s="283" t="s">
        <v>582</v>
      </c>
      <c r="F56" s="284"/>
      <c r="G56" s="187" t="s">
        <v>583</v>
      </c>
      <c r="H56" s="187"/>
      <c r="I56" s="189" t="s">
        <v>584</v>
      </c>
      <c r="J56" s="190"/>
      <c r="K56" s="150" t="s">
        <v>585</v>
      </c>
      <c r="L56" s="243"/>
      <c r="M56" s="243"/>
      <c r="N56" s="44"/>
    </row>
    <row r="57" spans="1:19" ht="24.75" customHeight="1">
      <c r="A57" s="25" t="s">
        <v>19</v>
      </c>
      <c r="B57" s="28">
        <v>0.28220000000000001</v>
      </c>
      <c r="C57" s="28">
        <v>0.63119999999999998</v>
      </c>
      <c r="D57" s="28">
        <v>0.2722</v>
      </c>
      <c r="E57" s="284"/>
      <c r="F57" s="284"/>
      <c r="G57" s="187"/>
      <c r="H57" s="187"/>
      <c r="I57" s="195"/>
      <c r="J57" s="176"/>
      <c r="K57" s="243"/>
      <c r="L57" s="243"/>
      <c r="M57" s="243"/>
      <c r="N57" s="44"/>
    </row>
    <row r="58" spans="1:19" ht="27.75" customHeight="1">
      <c r="A58" s="25" t="s">
        <v>91</v>
      </c>
      <c r="B58" s="26">
        <v>6474</v>
      </c>
      <c r="C58" s="26">
        <v>594461</v>
      </c>
      <c r="D58" s="60">
        <v>91.82</v>
      </c>
      <c r="E58" s="285" t="s">
        <v>586</v>
      </c>
      <c r="F58" s="286"/>
      <c r="G58" s="187" t="s">
        <v>587</v>
      </c>
      <c r="H58" s="187"/>
      <c r="I58" s="195"/>
      <c r="J58" s="176"/>
      <c r="K58" s="243"/>
      <c r="L58" s="243"/>
      <c r="M58" s="243"/>
      <c r="N58" s="44"/>
    </row>
    <row r="59" spans="1:19" ht="27" customHeight="1">
      <c r="A59" s="25" t="s">
        <v>19</v>
      </c>
      <c r="B59" s="28">
        <v>0.36870000000000003</v>
      </c>
      <c r="C59" s="28">
        <v>0.54759999999999998</v>
      </c>
      <c r="D59" s="28">
        <v>0.13070000000000001</v>
      </c>
      <c r="E59" s="286"/>
      <c r="F59" s="286"/>
      <c r="G59" s="187"/>
      <c r="H59" s="187"/>
      <c r="I59" s="192"/>
      <c r="J59" s="193"/>
      <c r="K59" s="243"/>
      <c r="L59" s="243"/>
      <c r="M59" s="243"/>
      <c r="N59" s="44"/>
    </row>
    <row r="60" spans="1:19" ht="23.25" customHeight="1">
      <c r="A60" s="25" t="s">
        <v>97</v>
      </c>
      <c r="B60" s="26">
        <v>17607</v>
      </c>
      <c r="C60" s="26">
        <v>1576414</v>
      </c>
      <c r="D60" s="60">
        <v>89.53</v>
      </c>
      <c r="E60" s="273" t="s">
        <v>539</v>
      </c>
      <c r="F60" s="273"/>
      <c r="G60" s="273"/>
      <c r="H60" s="273"/>
      <c r="I60" s="273"/>
      <c r="J60" s="274"/>
      <c r="K60" s="243"/>
      <c r="L60" s="243"/>
      <c r="M60" s="243"/>
      <c r="N60" s="44"/>
    </row>
    <row r="61" spans="1:19" ht="35.25" customHeight="1">
      <c r="A61" s="42" t="s">
        <v>19</v>
      </c>
      <c r="B61" s="28">
        <v>0.31269999999999998</v>
      </c>
      <c r="C61" s="28">
        <v>0.59860000000000002</v>
      </c>
      <c r="D61" s="28">
        <v>0.21779999999999999</v>
      </c>
      <c r="E61" s="273"/>
      <c r="F61" s="273"/>
      <c r="G61" s="273"/>
      <c r="H61" s="273"/>
      <c r="I61" s="273"/>
      <c r="J61" s="274"/>
      <c r="K61" s="243"/>
      <c r="L61" s="243"/>
      <c r="M61" s="243"/>
      <c r="N61" s="44"/>
    </row>
    <row r="64" spans="1:19" ht="15">
      <c r="A64" s="165" t="s">
        <v>109</v>
      </c>
      <c r="B64" s="62" t="s">
        <v>110</v>
      </c>
      <c r="C64" s="62" t="s">
        <v>111</v>
      </c>
      <c r="D64" s="62" t="s">
        <v>112</v>
      </c>
      <c r="E64" s="62" t="s">
        <v>113</v>
      </c>
      <c r="F64" s="62" t="s">
        <v>262</v>
      </c>
      <c r="G64" s="62" t="s">
        <v>263</v>
      </c>
      <c r="I64" s="63" t="s">
        <v>42</v>
      </c>
      <c r="J64" s="63" t="s">
        <v>392</v>
      </c>
      <c r="K64" s="63" t="s">
        <v>393</v>
      </c>
      <c r="L64" s="63" t="s">
        <v>394</v>
      </c>
      <c r="M64" s="63" t="s">
        <v>395</v>
      </c>
      <c r="N64" s="63" t="s">
        <v>396</v>
      </c>
      <c r="O64" s="63" t="s">
        <v>397</v>
      </c>
      <c r="P64" s="63" t="s">
        <v>398</v>
      </c>
    </row>
    <row r="65" spans="1:16" ht="14.25">
      <c r="A65" s="165"/>
      <c r="B65" s="25" t="s">
        <v>588</v>
      </c>
      <c r="C65" s="72">
        <v>4020</v>
      </c>
      <c r="D65" s="72">
        <v>4058</v>
      </c>
      <c r="E65" s="72">
        <v>74148</v>
      </c>
      <c r="F65" s="212">
        <v>30</v>
      </c>
      <c r="G65" s="275">
        <v>1777</v>
      </c>
      <c r="I65" s="65" t="s">
        <v>400</v>
      </c>
      <c r="J65" s="50" t="s">
        <v>401</v>
      </c>
      <c r="K65" s="25">
        <v>7.9</v>
      </c>
      <c r="L65" s="25">
        <v>1</v>
      </c>
      <c r="M65" s="25">
        <v>9000</v>
      </c>
      <c r="N65" s="25">
        <v>9000</v>
      </c>
      <c r="O65" s="25" t="s">
        <v>402</v>
      </c>
      <c r="P65" s="239" t="s">
        <v>403</v>
      </c>
    </row>
    <row r="66" spans="1:16" ht="14.25">
      <c r="A66" s="165"/>
      <c r="B66" s="42" t="s">
        <v>117</v>
      </c>
      <c r="C66" s="42">
        <v>345</v>
      </c>
      <c r="D66" s="42">
        <v>463</v>
      </c>
      <c r="E66" s="72">
        <v>17088</v>
      </c>
      <c r="F66" s="213"/>
      <c r="G66" s="213"/>
      <c r="I66" s="65" t="s">
        <v>404</v>
      </c>
      <c r="J66" s="50" t="s">
        <v>405</v>
      </c>
      <c r="K66" s="25">
        <v>14.9</v>
      </c>
      <c r="L66" s="25">
        <v>1</v>
      </c>
      <c r="M66" s="25">
        <v>500</v>
      </c>
      <c r="N66" s="25">
        <v>500</v>
      </c>
      <c r="O66" s="25" t="s">
        <v>402</v>
      </c>
      <c r="P66" s="240"/>
    </row>
    <row r="67" spans="1:16" ht="14.25">
      <c r="A67" s="165"/>
      <c r="B67" s="42" t="s">
        <v>118</v>
      </c>
      <c r="C67" s="72">
        <v>1425</v>
      </c>
      <c r="D67" s="72">
        <v>1522</v>
      </c>
      <c r="E67" s="73">
        <v>68119.820000000007</v>
      </c>
      <c r="F67" s="168"/>
      <c r="G67" s="168"/>
      <c r="I67" s="65" t="s">
        <v>406</v>
      </c>
      <c r="J67" s="50" t="s">
        <v>407</v>
      </c>
      <c r="K67" s="25">
        <v>14.9</v>
      </c>
      <c r="L67" s="25">
        <v>1</v>
      </c>
      <c r="M67" s="25">
        <v>500</v>
      </c>
      <c r="N67" s="25">
        <v>500</v>
      </c>
      <c r="O67" s="25" t="s">
        <v>402</v>
      </c>
      <c r="P67" s="240"/>
    </row>
    <row r="68" spans="1:16" ht="36.75" customHeight="1">
      <c r="A68" s="187" t="s">
        <v>589</v>
      </c>
      <c r="B68" s="188"/>
      <c r="C68" s="188"/>
      <c r="D68" s="188"/>
      <c r="E68" s="188"/>
      <c r="F68" s="188"/>
      <c r="G68" s="188"/>
      <c r="I68" s="65" t="s">
        <v>409</v>
      </c>
      <c r="J68" s="50" t="s">
        <v>410</v>
      </c>
      <c r="K68" s="25">
        <v>9.9</v>
      </c>
      <c r="L68" s="25">
        <v>2.9</v>
      </c>
      <c r="M68" s="25">
        <v>2000</v>
      </c>
      <c r="N68" s="25">
        <v>5800</v>
      </c>
      <c r="O68" s="25" t="s">
        <v>402</v>
      </c>
      <c r="P68" s="240"/>
    </row>
    <row r="69" spans="1:16" ht="14.25">
      <c r="I69" s="65" t="s">
        <v>273</v>
      </c>
      <c r="J69" s="50" t="s">
        <v>411</v>
      </c>
      <c r="K69" s="25">
        <v>9.9</v>
      </c>
      <c r="L69" s="25">
        <v>2.9</v>
      </c>
      <c r="M69" s="25">
        <v>2500</v>
      </c>
      <c r="N69" s="25">
        <v>7250</v>
      </c>
      <c r="O69" s="25" t="s">
        <v>402</v>
      </c>
      <c r="P69" s="240"/>
    </row>
    <row r="70" spans="1:16" ht="14.25">
      <c r="I70" s="65" t="s">
        <v>412</v>
      </c>
      <c r="J70" s="50" t="s">
        <v>413</v>
      </c>
      <c r="K70" s="25">
        <v>25.9</v>
      </c>
      <c r="L70" s="25">
        <v>9.9</v>
      </c>
      <c r="M70" s="25">
        <v>4000</v>
      </c>
      <c r="N70" s="25">
        <v>39600</v>
      </c>
      <c r="O70" s="25" t="s">
        <v>402</v>
      </c>
      <c r="P70" s="240"/>
    </row>
    <row r="71" spans="1:16" ht="14.25">
      <c r="A71" s="32" t="s">
        <v>42</v>
      </c>
      <c r="B71" s="32" t="s">
        <v>43</v>
      </c>
      <c r="C71" s="32" t="s">
        <v>266</v>
      </c>
      <c r="D71" s="32" t="s">
        <v>267</v>
      </c>
      <c r="E71" s="32" t="s">
        <v>268</v>
      </c>
      <c r="I71" s="65" t="s">
        <v>414</v>
      </c>
      <c r="J71" s="50" t="s">
        <v>415</v>
      </c>
      <c r="K71" s="25">
        <v>6.9</v>
      </c>
      <c r="L71" s="25">
        <v>4.9000000000000004</v>
      </c>
      <c r="M71" s="25">
        <v>1500</v>
      </c>
      <c r="N71" s="25">
        <v>7350</v>
      </c>
      <c r="O71" s="25" t="s">
        <v>402</v>
      </c>
      <c r="P71" s="240"/>
    </row>
    <row r="72" spans="1:16" ht="14.25">
      <c r="A72" s="133" t="s">
        <v>269</v>
      </c>
      <c r="B72" s="25" t="s">
        <v>347</v>
      </c>
      <c r="C72" s="42">
        <v>17.899999999999999</v>
      </c>
      <c r="D72" s="42">
        <v>1443</v>
      </c>
      <c r="E72" s="26">
        <f>C72*D72</f>
        <v>25829.7</v>
      </c>
      <c r="I72" s="130" t="s">
        <v>269</v>
      </c>
      <c r="J72" s="50" t="s">
        <v>347</v>
      </c>
      <c r="K72" s="42">
        <v>29</v>
      </c>
      <c r="L72" s="42">
        <v>17.899999999999999</v>
      </c>
      <c r="M72" s="42">
        <v>5000</v>
      </c>
      <c r="N72" s="42">
        <f t="shared" ref="N72:N77" si="7">M72*L72</f>
        <v>89500</v>
      </c>
      <c r="O72" s="25" t="s">
        <v>416</v>
      </c>
      <c r="P72" s="240"/>
    </row>
    <row r="73" spans="1:16" ht="14.25">
      <c r="A73" s="133" t="s">
        <v>271</v>
      </c>
      <c r="B73" s="25" t="s">
        <v>417</v>
      </c>
      <c r="C73" s="42">
        <v>19.899999999999999</v>
      </c>
      <c r="D73" s="42">
        <v>932</v>
      </c>
      <c r="E73" s="26">
        <f>C73*D73</f>
        <v>18546.8</v>
      </c>
      <c r="I73" s="130" t="s">
        <v>271</v>
      </c>
      <c r="J73" s="50" t="s">
        <v>417</v>
      </c>
      <c r="K73" s="42">
        <v>39</v>
      </c>
      <c r="L73" s="42">
        <v>19.899999999999999</v>
      </c>
      <c r="M73" s="42">
        <v>3000</v>
      </c>
      <c r="N73" s="42">
        <f t="shared" si="7"/>
        <v>59700</v>
      </c>
      <c r="O73" s="25" t="s">
        <v>416</v>
      </c>
      <c r="P73" s="240"/>
    </row>
    <row r="74" spans="1:16" ht="14.25">
      <c r="A74" s="133" t="s">
        <v>412</v>
      </c>
      <c r="B74" s="25" t="s">
        <v>573</v>
      </c>
      <c r="C74" s="42">
        <v>9.9</v>
      </c>
      <c r="D74" s="42">
        <v>174</v>
      </c>
      <c r="E74" s="26">
        <f>C74*D74</f>
        <v>1722.6</v>
      </c>
      <c r="I74" s="130" t="s">
        <v>419</v>
      </c>
      <c r="J74" s="50" t="s">
        <v>420</v>
      </c>
      <c r="K74" s="42">
        <v>49</v>
      </c>
      <c r="L74" s="42">
        <v>29.9</v>
      </c>
      <c r="M74" s="42">
        <v>1000</v>
      </c>
      <c r="N74" s="42">
        <f t="shared" si="7"/>
        <v>29900</v>
      </c>
      <c r="O74" s="25" t="s">
        <v>416</v>
      </c>
      <c r="P74" s="240"/>
    </row>
    <row r="75" spans="1:16" ht="14.25">
      <c r="I75" s="130" t="s">
        <v>275</v>
      </c>
      <c r="J75" s="50" t="s">
        <v>421</v>
      </c>
      <c r="K75" s="42">
        <v>29.9</v>
      </c>
      <c r="L75" s="25">
        <v>19.899999999999999</v>
      </c>
      <c r="M75" s="25">
        <v>800</v>
      </c>
      <c r="N75" s="42">
        <f t="shared" si="7"/>
        <v>15920</v>
      </c>
      <c r="O75" s="25" t="s">
        <v>416</v>
      </c>
      <c r="P75" s="240"/>
    </row>
    <row r="76" spans="1:16" ht="14.25">
      <c r="I76" s="130" t="s">
        <v>422</v>
      </c>
      <c r="J76" s="50" t="s">
        <v>423</v>
      </c>
      <c r="K76" s="42">
        <v>39.9</v>
      </c>
      <c r="L76" s="25">
        <v>25</v>
      </c>
      <c r="M76" s="25">
        <v>1000</v>
      </c>
      <c r="N76" s="42">
        <f t="shared" si="7"/>
        <v>25000</v>
      </c>
      <c r="O76" s="25" t="s">
        <v>416</v>
      </c>
      <c r="P76" s="240"/>
    </row>
    <row r="77" spans="1:16" ht="14.25">
      <c r="A77" s="267" t="s">
        <v>110</v>
      </c>
      <c r="B77" s="267" t="s">
        <v>424</v>
      </c>
      <c r="C77" s="267"/>
      <c r="D77" s="267"/>
      <c r="E77" s="74"/>
      <c r="I77" s="134" t="s">
        <v>425</v>
      </c>
      <c r="J77" s="66" t="s">
        <v>426</v>
      </c>
      <c r="K77" s="33">
        <v>49.9</v>
      </c>
      <c r="L77" s="45">
        <v>29.9</v>
      </c>
      <c r="M77" s="45">
        <v>1000</v>
      </c>
      <c r="N77" s="33">
        <f t="shared" si="7"/>
        <v>29900</v>
      </c>
      <c r="O77" s="25" t="s">
        <v>416</v>
      </c>
      <c r="P77" s="240"/>
    </row>
    <row r="78" spans="1:16" ht="14.25">
      <c r="A78" s="267"/>
      <c r="B78" s="58" t="s">
        <v>427</v>
      </c>
      <c r="C78" s="58" t="s">
        <v>428</v>
      </c>
      <c r="D78" s="58" t="s">
        <v>429</v>
      </c>
      <c r="E78" s="74"/>
      <c r="I78" s="268" t="s">
        <v>430</v>
      </c>
      <c r="J78" s="268"/>
      <c r="K78" s="268"/>
      <c r="L78" s="268"/>
      <c r="M78" s="268"/>
      <c r="N78" s="268"/>
      <c r="O78" s="268"/>
      <c r="P78" s="268"/>
    </row>
    <row r="79" spans="1:16" ht="14.25">
      <c r="A79" s="70">
        <v>46116</v>
      </c>
      <c r="B79" s="42">
        <v>4033</v>
      </c>
      <c r="C79" s="42">
        <v>1372.85</v>
      </c>
      <c r="D79" s="42">
        <v>2234</v>
      </c>
      <c r="E79" s="22" t="s">
        <v>431</v>
      </c>
    </row>
    <row r="80" spans="1:16" ht="14.25">
      <c r="A80" s="70">
        <v>46124</v>
      </c>
      <c r="B80" s="42">
        <v>40490</v>
      </c>
      <c r="C80" s="42">
        <v>5092.3999999999996</v>
      </c>
      <c r="D80" s="42">
        <v>19856</v>
      </c>
      <c r="E80" s="22" t="s">
        <v>432</v>
      </c>
    </row>
  </sheetData>
  <sheetProtection formatCells="0" formatColumns="0" formatRows="0" insertColumns="0" insertRows="0" insertHyperlinks="0" deleteColumns="0" deleteRows="0" sort="0" autoFilter="0" pivotTables="0"/>
  <mergeCells count="70">
    <mergeCell ref="E56:F57"/>
    <mergeCell ref="G56:H57"/>
    <mergeCell ref="I56:J59"/>
    <mergeCell ref="K56:M61"/>
    <mergeCell ref="E58:F59"/>
    <mergeCell ref="G58:H59"/>
    <mergeCell ref="E60:J61"/>
    <mergeCell ref="P65:P77"/>
    <mergeCell ref="E6:G7"/>
    <mergeCell ref="G12:J13"/>
    <mergeCell ref="G16:J17"/>
    <mergeCell ref="I25:K26"/>
    <mergeCell ref="O25:Q31"/>
    <mergeCell ref="I27:K28"/>
    <mergeCell ref="I29:K31"/>
    <mergeCell ref="I32:K37"/>
    <mergeCell ref="O32:Q37"/>
    <mergeCell ref="I38:K39"/>
    <mergeCell ref="O38:Q39"/>
    <mergeCell ref="I41:K42"/>
    <mergeCell ref="O41:Q44"/>
    <mergeCell ref="I43:K44"/>
    <mergeCell ref="H49:K50"/>
    <mergeCell ref="A68:G68"/>
    <mergeCell ref="B77:D77"/>
    <mergeCell ref="I78:P78"/>
    <mergeCell ref="A12:A13"/>
    <mergeCell ref="A14:A15"/>
    <mergeCell ref="A16:A18"/>
    <mergeCell ref="A25:A31"/>
    <mergeCell ref="A32:A37"/>
    <mergeCell ref="A38:A40"/>
    <mergeCell ref="A41:A44"/>
    <mergeCell ref="A49:A50"/>
    <mergeCell ref="A51:A52"/>
    <mergeCell ref="A64:A67"/>
    <mergeCell ref="A77:A78"/>
    <mergeCell ref="F65:F67"/>
    <mergeCell ref="G65:G67"/>
    <mergeCell ref="H52:K52"/>
    <mergeCell ref="O52:Q52"/>
    <mergeCell ref="R52:S52"/>
    <mergeCell ref="E55:F55"/>
    <mergeCell ref="G55:H55"/>
    <mergeCell ref="I55:J55"/>
    <mergeCell ref="K55:M55"/>
    <mergeCell ref="O49:Q49"/>
    <mergeCell ref="R49:S49"/>
    <mergeCell ref="O50:Q50"/>
    <mergeCell ref="R50:S50"/>
    <mergeCell ref="H51:K51"/>
    <mergeCell ref="O51:Q51"/>
    <mergeCell ref="R51:S51"/>
    <mergeCell ref="I40:K40"/>
    <mergeCell ref="O40:Q40"/>
    <mergeCell ref="A47:S47"/>
    <mergeCell ref="A48:B48"/>
    <mergeCell ref="H48:K48"/>
    <mergeCell ref="O48:Q48"/>
    <mergeCell ref="R48:S48"/>
    <mergeCell ref="G15:J15"/>
    <mergeCell ref="G18:J18"/>
    <mergeCell ref="A23:Q23"/>
    <mergeCell ref="I24:K24"/>
    <mergeCell ref="O24:Q24"/>
    <mergeCell ref="A1:G1"/>
    <mergeCell ref="A10:J10"/>
    <mergeCell ref="A11:B11"/>
    <mergeCell ref="G11:J11"/>
    <mergeCell ref="G14:J14"/>
  </mergeCells>
  <phoneticPr fontId="15" type="noConversion"/>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S80"/>
  <sheetViews>
    <sheetView workbookViewId="0">
      <selection sqref="A1:G1"/>
    </sheetView>
  </sheetViews>
  <sheetFormatPr defaultColWidth="9" defaultRowHeight="13.5"/>
  <cols>
    <col min="1" max="1" width="11.75" customWidth="1"/>
    <col min="2" max="2" width="12.625" customWidth="1"/>
    <col min="3" max="3" width="26.125" customWidth="1"/>
    <col min="4" max="4" width="14.875" customWidth="1"/>
    <col min="5" max="5" width="15.125" customWidth="1"/>
    <col min="6" max="6" width="17.25" customWidth="1"/>
    <col min="7" max="7" width="18" customWidth="1"/>
    <col min="8" max="8" width="14.5" customWidth="1"/>
    <col min="9" max="9" width="12.125" customWidth="1"/>
    <col min="10" max="10" width="21.5" customWidth="1"/>
    <col min="11" max="11" width="12.625" customWidth="1"/>
    <col min="12" max="12" width="16" customWidth="1"/>
    <col min="13" max="13" width="13.5" customWidth="1"/>
    <col min="14" max="14" width="10.25" customWidth="1"/>
    <col min="15" max="15" width="17.375" customWidth="1"/>
    <col min="16" max="16" width="23.5" customWidth="1"/>
    <col min="17" max="18" width="11.25" customWidth="1"/>
    <col min="19" max="19" width="15.75" customWidth="1"/>
  </cols>
  <sheetData>
    <row r="1" spans="1:10" ht="14.25" customHeight="1">
      <c r="A1" s="136" t="s">
        <v>590</v>
      </c>
      <c r="B1" s="137"/>
      <c r="C1" s="137"/>
      <c r="D1" s="137"/>
      <c r="E1" s="137"/>
      <c r="F1" s="137"/>
      <c r="G1" s="137"/>
    </row>
    <row r="2" spans="1:10" ht="14.25">
      <c r="A2" s="4" t="s">
        <v>1</v>
      </c>
      <c r="B2" s="4" t="s">
        <v>2</v>
      </c>
      <c r="C2" s="4" t="s">
        <v>3</v>
      </c>
      <c r="D2" s="4" t="s">
        <v>4</v>
      </c>
      <c r="E2" s="4" t="s">
        <v>5</v>
      </c>
      <c r="F2" s="4" t="s">
        <v>6</v>
      </c>
      <c r="G2" s="4" t="s">
        <v>7</v>
      </c>
    </row>
    <row r="3" spans="1:10" ht="14.25">
      <c r="A3" s="5" t="s">
        <v>9</v>
      </c>
      <c r="B3" s="17">
        <v>387</v>
      </c>
      <c r="C3" s="75">
        <v>434</v>
      </c>
      <c r="D3" s="7">
        <f>(C3-B3)/B3</f>
        <v>0.121447028423773</v>
      </c>
      <c r="E3" s="7">
        <f>B3/(B3+B4+B5)</f>
        <v>0.20544999920368201</v>
      </c>
      <c r="F3" s="7">
        <f>C3/(C3+C4+C5)</f>
        <v>0.18807744977378699</v>
      </c>
      <c r="G3" s="7">
        <f>F3-E3</f>
        <v>-1.7372549429894999E-2</v>
      </c>
    </row>
    <row r="4" spans="1:10" ht="14.25">
      <c r="A4" s="8" t="s">
        <v>11</v>
      </c>
      <c r="B4" s="17">
        <v>1246</v>
      </c>
      <c r="C4" s="75">
        <v>1598</v>
      </c>
      <c r="D4" s="7">
        <f>(C4-B4)/B4</f>
        <v>0.282504012841092</v>
      </c>
      <c r="E4" s="7">
        <f>B4/(B4+B5+B3)</f>
        <v>0.66147467443872898</v>
      </c>
      <c r="F4" s="7">
        <f>C4/(C3+C4+C5)</f>
        <v>0.69250637036523399</v>
      </c>
      <c r="G4" s="7">
        <f>F4-E4</f>
        <v>3.1031695926505301E-2</v>
      </c>
    </row>
    <row r="5" spans="1:10" ht="14.25">
      <c r="A5" s="8" t="s">
        <v>12</v>
      </c>
      <c r="B5" s="17">
        <v>250.67</v>
      </c>
      <c r="C5" s="17">
        <v>275.56</v>
      </c>
      <c r="D5" s="7">
        <f>(C5-B5)/B5</f>
        <v>9.9293892368452596E-2</v>
      </c>
      <c r="E5" s="13">
        <f>B5/(B5+B4+B3)</f>
        <v>0.13307532635758901</v>
      </c>
      <c r="F5" s="13">
        <f>C5/(C3+C4+C5)</f>
        <v>0.11941617986097899</v>
      </c>
      <c r="G5" s="13">
        <f>F5-E5</f>
        <v>-1.36591464966103E-2</v>
      </c>
    </row>
    <row r="6" spans="1:10" ht="29.65" customHeight="1">
      <c r="A6" s="8" t="s">
        <v>13</v>
      </c>
      <c r="B6" s="18">
        <v>165.73</v>
      </c>
      <c r="C6" s="18">
        <v>241.34</v>
      </c>
      <c r="D6" s="7">
        <f>(C6-B6)/B6</f>
        <v>0.45622397876063497</v>
      </c>
      <c r="E6" s="249" t="s">
        <v>591</v>
      </c>
      <c r="F6" s="250"/>
      <c r="G6" s="250"/>
    </row>
    <row r="7" spans="1:10" ht="42.75" customHeight="1">
      <c r="A7" s="19" t="s">
        <v>14</v>
      </c>
      <c r="B7" s="20">
        <v>145.69</v>
      </c>
      <c r="C7" s="21">
        <v>201.69</v>
      </c>
      <c r="D7" s="7">
        <f>(C7-B7)/B7</f>
        <v>0.38437778845493897</v>
      </c>
      <c r="E7" s="250"/>
      <c r="F7" s="250"/>
      <c r="G7" s="250"/>
    </row>
    <row r="10" spans="1:10" ht="14.25">
      <c r="A10" s="141" t="s">
        <v>592</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1888242</v>
      </c>
      <c r="D12" s="26">
        <v>494654</v>
      </c>
      <c r="E12" s="27">
        <f t="shared" ref="E12:E15" si="0">(C12-D12)/D12</f>
        <v>2.8172985561624899</v>
      </c>
      <c r="F12" s="28">
        <f>C12/2410000</f>
        <v>0.78350290456431504</v>
      </c>
      <c r="G12" s="228" t="s">
        <v>593</v>
      </c>
      <c r="H12" s="254"/>
      <c r="I12" s="254"/>
      <c r="J12" s="255"/>
    </row>
    <row r="13" spans="1:10" ht="14.25">
      <c r="A13" s="164"/>
      <c r="B13" s="25" t="s">
        <v>25</v>
      </c>
      <c r="C13" s="26">
        <v>65346</v>
      </c>
      <c r="D13" s="26">
        <v>50026</v>
      </c>
      <c r="E13" s="27">
        <f t="shared" si="0"/>
        <v>0.30624075480750002</v>
      </c>
      <c r="F13" s="28">
        <f t="shared" ref="F13:F18" si="1">C13/2410000</f>
        <v>2.7114522821576802E-2</v>
      </c>
      <c r="G13" s="256"/>
      <c r="H13" s="257"/>
      <c r="I13" s="257"/>
      <c r="J13" s="258"/>
    </row>
    <row r="14" spans="1:10" ht="53.1" customHeight="1">
      <c r="A14" s="164" t="s">
        <v>26</v>
      </c>
      <c r="B14" s="25" t="s">
        <v>27</v>
      </c>
      <c r="C14" s="26">
        <v>1201013.96</v>
      </c>
      <c r="D14" s="26">
        <v>1075798.3600000001</v>
      </c>
      <c r="E14" s="27">
        <f t="shared" si="0"/>
        <v>0.116393187288369</v>
      </c>
      <c r="F14" s="28">
        <f t="shared" si="1"/>
        <v>0.49834604149377598</v>
      </c>
      <c r="G14" s="146" t="s">
        <v>594</v>
      </c>
      <c r="H14" s="147"/>
      <c r="I14" s="147"/>
      <c r="J14" s="147"/>
    </row>
    <row r="15" spans="1:10" ht="32.450000000000003" customHeight="1">
      <c r="A15" s="164"/>
      <c r="B15" s="25" t="s">
        <v>29</v>
      </c>
      <c r="C15" s="26">
        <v>467088.52</v>
      </c>
      <c r="D15" s="26">
        <v>117364.93</v>
      </c>
      <c r="E15" s="27">
        <f t="shared" si="0"/>
        <v>2.9797963497272999</v>
      </c>
      <c r="F15" s="28">
        <f t="shared" si="1"/>
        <v>0.19381266390041499</v>
      </c>
      <c r="G15" s="146" t="s">
        <v>595</v>
      </c>
      <c r="H15" s="147"/>
      <c r="I15" s="147"/>
      <c r="J15" s="147"/>
    </row>
    <row r="16" spans="1:10" ht="14.25">
      <c r="A16" s="164" t="s">
        <v>31</v>
      </c>
      <c r="B16" s="25" t="s">
        <v>34</v>
      </c>
      <c r="C16" s="26">
        <v>41081.32</v>
      </c>
      <c r="D16" s="29" t="s">
        <v>57</v>
      </c>
      <c r="E16" s="27" t="s">
        <v>57</v>
      </c>
      <c r="F16" s="28">
        <f t="shared" si="1"/>
        <v>1.7046190871369299E-2</v>
      </c>
      <c r="G16" s="195" t="s">
        <v>359</v>
      </c>
      <c r="H16" s="176"/>
      <c r="I16" s="176"/>
      <c r="J16" s="177"/>
    </row>
    <row r="17" spans="1:17" ht="14.25">
      <c r="A17" s="164"/>
      <c r="B17" s="25" t="s">
        <v>36</v>
      </c>
      <c r="C17" s="26">
        <v>60768</v>
      </c>
      <c r="D17" s="26">
        <v>318828</v>
      </c>
      <c r="E17" s="27">
        <f>(C17-D17)/D17</f>
        <v>-0.80940193458541898</v>
      </c>
      <c r="F17" s="28">
        <f t="shared" si="1"/>
        <v>2.5214937759336101E-2</v>
      </c>
      <c r="G17" s="195"/>
      <c r="H17" s="176"/>
      <c r="I17" s="176"/>
      <c r="J17" s="177"/>
    </row>
    <row r="18" spans="1:17" ht="30.75" customHeight="1">
      <c r="A18" s="164"/>
      <c r="B18" s="25" t="s">
        <v>37</v>
      </c>
      <c r="C18" s="26">
        <v>109000</v>
      </c>
      <c r="D18" s="26">
        <v>146000</v>
      </c>
      <c r="E18" s="27">
        <f>(C18-D18)/D18</f>
        <v>-0.25342465753424698</v>
      </c>
      <c r="F18" s="28">
        <f t="shared" si="1"/>
        <v>4.5228215767634902E-2</v>
      </c>
      <c r="G18" s="150" t="s">
        <v>596</v>
      </c>
      <c r="H18" s="161"/>
      <c r="I18" s="161"/>
      <c r="J18" s="161"/>
    </row>
    <row r="19" spans="1:17" ht="14.25">
      <c r="C19" s="30"/>
      <c r="D19" s="30"/>
      <c r="E19" s="31"/>
    </row>
    <row r="23" spans="1:17" ht="14.25">
      <c r="A23" s="251" t="s">
        <v>597</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290</v>
      </c>
      <c r="E24" s="32" t="s">
        <v>598</v>
      </c>
      <c r="F24" s="32" t="s">
        <v>129</v>
      </c>
      <c r="G24" s="32" t="s">
        <v>19</v>
      </c>
      <c r="H24" s="32" t="s">
        <v>20</v>
      </c>
      <c r="I24" s="153" t="s">
        <v>21</v>
      </c>
      <c r="J24" s="153"/>
      <c r="K24" s="153"/>
      <c r="L24" s="32" t="s">
        <v>289</v>
      </c>
      <c r="M24" s="32" t="s">
        <v>290</v>
      </c>
      <c r="N24" s="32" t="s">
        <v>291</v>
      </c>
      <c r="O24" s="153" t="s">
        <v>292</v>
      </c>
      <c r="P24" s="153"/>
      <c r="Q24" s="153"/>
    </row>
    <row r="25" spans="1:17" ht="35.65" customHeight="1">
      <c r="A25" s="212" t="s">
        <v>44</v>
      </c>
      <c r="B25" s="128" t="s">
        <v>45</v>
      </c>
      <c r="C25" s="34" t="s">
        <v>46</v>
      </c>
      <c r="D25" s="35">
        <v>1300000</v>
      </c>
      <c r="E25" s="36">
        <v>502332</v>
      </c>
      <c r="F25" s="29">
        <v>284435</v>
      </c>
      <c r="G25" s="37">
        <f t="shared" ref="G25:G28" si="2">(E25-F25)/F25</f>
        <v>0.76606957652890795</v>
      </c>
      <c r="H25" s="38">
        <f>E25/2410000</f>
        <v>0.208436514522822</v>
      </c>
      <c r="I25" s="189" t="s">
        <v>599</v>
      </c>
      <c r="J25" s="190"/>
      <c r="K25" s="190"/>
      <c r="L25" s="39">
        <v>1100000</v>
      </c>
      <c r="M25" s="39">
        <v>1300000</v>
      </c>
      <c r="N25" s="39">
        <v>1300000</v>
      </c>
      <c r="O25" s="150" t="s">
        <v>364</v>
      </c>
      <c r="P25" s="150"/>
      <c r="Q25" s="150"/>
    </row>
    <row r="26" spans="1:17" ht="27.95" customHeight="1">
      <c r="A26" s="213"/>
      <c r="B26" s="131" t="s">
        <v>48</v>
      </c>
      <c r="C26" s="41" t="s">
        <v>49</v>
      </c>
      <c r="D26" s="35">
        <v>850000</v>
      </c>
      <c r="E26" s="76">
        <v>481315</v>
      </c>
      <c r="F26" s="77">
        <v>57197</v>
      </c>
      <c r="G26" s="78">
        <f t="shared" si="2"/>
        <v>7.41503925031033</v>
      </c>
      <c r="H26" s="38">
        <f t="shared" ref="H26:H44" si="3">E26/2410000</f>
        <v>0.19971576763485499</v>
      </c>
      <c r="I26" s="192"/>
      <c r="J26" s="193"/>
      <c r="K26" s="193"/>
      <c r="L26" s="39">
        <v>500000</v>
      </c>
      <c r="M26" s="39">
        <v>850000</v>
      </c>
      <c r="N26" s="39">
        <v>750000</v>
      </c>
      <c r="O26" s="150"/>
      <c r="P26" s="150"/>
      <c r="Q26" s="150"/>
    </row>
    <row r="27" spans="1:17" ht="26.85" customHeight="1">
      <c r="A27" s="213"/>
      <c r="B27" s="131" t="s">
        <v>50</v>
      </c>
      <c r="C27" s="41" t="s">
        <v>51</v>
      </c>
      <c r="D27" s="35">
        <v>550000</v>
      </c>
      <c r="E27" s="76">
        <v>291058</v>
      </c>
      <c r="F27" s="77">
        <v>187817</v>
      </c>
      <c r="G27" s="78">
        <f t="shared" si="2"/>
        <v>0.54968932524744796</v>
      </c>
      <c r="H27" s="38">
        <f t="shared" si="3"/>
        <v>0.120770954356846</v>
      </c>
      <c r="I27" s="189" t="s">
        <v>600</v>
      </c>
      <c r="J27" s="190"/>
      <c r="K27" s="190"/>
      <c r="L27" s="39">
        <v>450000</v>
      </c>
      <c r="M27" s="39">
        <v>550000</v>
      </c>
      <c r="N27" s="39">
        <v>500000</v>
      </c>
      <c r="O27" s="150"/>
      <c r="P27" s="150"/>
      <c r="Q27" s="150"/>
    </row>
    <row r="28" spans="1:17" ht="14.25">
      <c r="A28" s="213"/>
      <c r="B28" s="131" t="s">
        <v>53</v>
      </c>
      <c r="C28" s="41" t="s">
        <v>54</v>
      </c>
      <c r="D28" s="35">
        <v>600000</v>
      </c>
      <c r="E28" s="76">
        <v>30032</v>
      </c>
      <c r="F28" s="77">
        <v>52004</v>
      </c>
      <c r="G28" s="78">
        <f t="shared" si="2"/>
        <v>-0.422505961079917</v>
      </c>
      <c r="H28" s="38">
        <f t="shared" si="3"/>
        <v>1.2461410788381699E-2</v>
      </c>
      <c r="I28" s="192"/>
      <c r="J28" s="193"/>
      <c r="K28" s="193"/>
      <c r="L28" s="39">
        <v>400000</v>
      </c>
      <c r="M28" s="39">
        <v>600000</v>
      </c>
      <c r="N28" s="39">
        <v>550000</v>
      </c>
      <c r="O28" s="150"/>
      <c r="P28" s="150"/>
      <c r="Q28" s="150"/>
    </row>
    <row r="29" spans="1:17" ht="14.25">
      <c r="A29" s="213"/>
      <c r="B29" s="129" t="s">
        <v>55</v>
      </c>
      <c r="C29" s="43" t="s">
        <v>56</v>
      </c>
      <c r="D29" s="35">
        <v>180000</v>
      </c>
      <c r="E29" s="36">
        <v>44322</v>
      </c>
      <c r="F29" s="29" t="s">
        <v>57</v>
      </c>
      <c r="G29" s="37" t="s">
        <v>57</v>
      </c>
      <c r="H29" s="38">
        <f t="shared" si="3"/>
        <v>1.8390871369294601E-2</v>
      </c>
      <c r="I29" s="189" t="s">
        <v>601</v>
      </c>
      <c r="J29" s="190"/>
      <c r="K29" s="190"/>
      <c r="L29" s="39">
        <v>100000</v>
      </c>
      <c r="M29" s="39">
        <v>180000</v>
      </c>
      <c r="N29" s="39">
        <v>150000</v>
      </c>
      <c r="O29" s="150"/>
      <c r="P29" s="150"/>
      <c r="Q29" s="150"/>
    </row>
    <row r="30" spans="1:17" ht="14.25">
      <c r="A30" s="213"/>
      <c r="B30" s="130" t="s">
        <v>137</v>
      </c>
      <c r="C30" s="43" t="s">
        <v>138</v>
      </c>
      <c r="D30" s="35">
        <v>60000</v>
      </c>
      <c r="E30" s="36">
        <v>4869</v>
      </c>
      <c r="F30" s="29" t="s">
        <v>57</v>
      </c>
      <c r="G30" s="37" t="s">
        <v>57</v>
      </c>
      <c r="H30" s="38">
        <f t="shared" si="3"/>
        <v>2.0203319502074702E-3</v>
      </c>
      <c r="I30" s="195"/>
      <c r="J30" s="176"/>
      <c r="K30" s="176"/>
      <c r="L30" s="39">
        <v>30000</v>
      </c>
      <c r="M30" s="39">
        <v>60000</v>
      </c>
      <c r="N30" s="39">
        <v>50000</v>
      </c>
      <c r="O30" s="150"/>
      <c r="P30" s="150"/>
      <c r="Q30" s="150"/>
    </row>
    <row r="31" spans="1:17" ht="42.2" customHeight="1">
      <c r="A31" s="168"/>
      <c r="B31" s="129" t="s">
        <v>232</v>
      </c>
      <c r="C31" s="43" t="s">
        <v>233</v>
      </c>
      <c r="D31" s="35">
        <v>300000</v>
      </c>
      <c r="E31" s="36">
        <v>29173</v>
      </c>
      <c r="F31" s="29" t="s">
        <v>57</v>
      </c>
      <c r="G31" s="37" t="s">
        <v>57</v>
      </c>
      <c r="H31" s="38">
        <f t="shared" si="3"/>
        <v>1.2104979253112E-2</v>
      </c>
      <c r="I31" s="192"/>
      <c r="J31" s="193"/>
      <c r="K31" s="193"/>
      <c r="L31" s="39">
        <v>100000</v>
      </c>
      <c r="M31" s="39">
        <v>300000</v>
      </c>
      <c r="N31" s="39">
        <v>250000</v>
      </c>
      <c r="O31" s="150"/>
      <c r="P31" s="150"/>
      <c r="Q31" s="150"/>
    </row>
    <row r="32" spans="1:17" ht="14.25">
      <c r="A32" s="165" t="s">
        <v>59</v>
      </c>
      <c r="B32" s="129" t="s">
        <v>60</v>
      </c>
      <c r="C32" s="43" t="s">
        <v>61</v>
      </c>
      <c r="D32" s="35">
        <v>100000</v>
      </c>
      <c r="E32" s="36">
        <v>23373</v>
      </c>
      <c r="F32" s="26">
        <v>27921</v>
      </c>
      <c r="G32" s="37">
        <f t="shared" ref="G32:G39" si="4">(E32-F32)/F32</f>
        <v>-0.16288814870527599</v>
      </c>
      <c r="H32" s="38">
        <f t="shared" si="3"/>
        <v>9.6983402489626593E-3</v>
      </c>
      <c r="I32" s="189" t="s">
        <v>602</v>
      </c>
      <c r="J32" s="190"/>
      <c r="K32" s="190"/>
      <c r="L32" s="39">
        <v>70000</v>
      </c>
      <c r="M32" s="39">
        <v>100000</v>
      </c>
      <c r="N32" s="39">
        <v>90000</v>
      </c>
      <c r="O32" s="150" t="s">
        <v>298</v>
      </c>
      <c r="P32" s="150"/>
      <c r="Q32" s="150"/>
    </row>
    <row r="33" spans="1:19" ht="14.25">
      <c r="A33" s="165"/>
      <c r="B33" s="131" t="s">
        <v>63</v>
      </c>
      <c r="C33" s="41" t="s">
        <v>64</v>
      </c>
      <c r="D33" s="35">
        <v>35000</v>
      </c>
      <c r="E33" s="76">
        <v>3939</v>
      </c>
      <c r="F33" s="57">
        <v>6038</v>
      </c>
      <c r="G33" s="37">
        <f t="shared" si="4"/>
        <v>-0.347631666114607</v>
      </c>
      <c r="H33" s="38">
        <f t="shared" si="3"/>
        <v>1.6344398340249E-3</v>
      </c>
      <c r="I33" s="195"/>
      <c r="J33" s="176"/>
      <c r="K33" s="176"/>
      <c r="L33" s="39">
        <v>15000</v>
      </c>
      <c r="M33" s="39">
        <v>35000</v>
      </c>
      <c r="N33" s="39">
        <v>30000</v>
      </c>
      <c r="O33" s="150"/>
      <c r="P33" s="150"/>
      <c r="Q33" s="150"/>
    </row>
    <row r="34" spans="1:19" ht="14.25">
      <c r="A34" s="165"/>
      <c r="B34" s="131" t="s">
        <v>65</v>
      </c>
      <c r="C34" s="41" t="s">
        <v>66</v>
      </c>
      <c r="D34" s="35">
        <v>60000</v>
      </c>
      <c r="E34" s="76">
        <v>24240</v>
      </c>
      <c r="F34" s="57">
        <v>19373</v>
      </c>
      <c r="G34" s="37">
        <f t="shared" si="4"/>
        <v>0.251225932999535</v>
      </c>
      <c r="H34" s="38">
        <f t="shared" si="3"/>
        <v>1.0058091286307099E-2</v>
      </c>
      <c r="I34" s="195"/>
      <c r="J34" s="176"/>
      <c r="K34" s="176"/>
      <c r="L34" s="39">
        <v>90000</v>
      </c>
      <c r="M34" s="39">
        <v>60000</v>
      </c>
      <c r="N34" s="39">
        <v>50000</v>
      </c>
      <c r="O34" s="150"/>
      <c r="P34" s="150"/>
      <c r="Q34" s="150"/>
    </row>
    <row r="35" spans="1:19" ht="14.25">
      <c r="A35" s="165"/>
      <c r="B35" s="131" t="s">
        <v>67</v>
      </c>
      <c r="C35" s="41" t="s">
        <v>68</v>
      </c>
      <c r="D35" s="35">
        <v>25000</v>
      </c>
      <c r="E35" s="76">
        <v>6986</v>
      </c>
      <c r="F35" s="57">
        <v>3719</v>
      </c>
      <c r="G35" s="37">
        <f t="shared" si="4"/>
        <v>0.87846195213767098</v>
      </c>
      <c r="H35" s="38">
        <f t="shared" si="3"/>
        <v>2.8987551867219901E-3</v>
      </c>
      <c r="I35" s="195"/>
      <c r="J35" s="176"/>
      <c r="K35" s="176"/>
      <c r="L35" s="39">
        <v>15000</v>
      </c>
      <c r="M35" s="39">
        <v>25000</v>
      </c>
      <c r="N35" s="39">
        <v>20000</v>
      </c>
      <c r="O35" s="150"/>
      <c r="P35" s="150"/>
      <c r="Q35" s="150"/>
    </row>
    <row r="36" spans="1:19" ht="14.25">
      <c r="A36" s="165"/>
      <c r="B36" s="129" t="s">
        <v>69</v>
      </c>
      <c r="C36" s="43" t="s">
        <v>70</v>
      </c>
      <c r="D36" s="35">
        <v>100000</v>
      </c>
      <c r="E36" s="36">
        <v>37375</v>
      </c>
      <c r="F36" s="57">
        <v>40700</v>
      </c>
      <c r="G36" s="37">
        <f t="shared" si="4"/>
        <v>-8.1695331695331705E-2</v>
      </c>
      <c r="H36" s="38">
        <f t="shared" si="3"/>
        <v>1.55082987551867E-2</v>
      </c>
      <c r="I36" s="195"/>
      <c r="J36" s="176"/>
      <c r="K36" s="176"/>
      <c r="L36" s="39">
        <v>75000</v>
      </c>
      <c r="M36" s="39">
        <v>100000</v>
      </c>
      <c r="N36" s="39">
        <v>90000</v>
      </c>
      <c r="O36" s="150"/>
      <c r="P36" s="150"/>
      <c r="Q36" s="150"/>
    </row>
    <row r="37" spans="1:19" ht="14.25">
      <c r="A37" s="165"/>
      <c r="B37" s="131" t="s">
        <v>72</v>
      </c>
      <c r="C37" s="41" t="s">
        <v>73</v>
      </c>
      <c r="D37" s="35">
        <v>50000</v>
      </c>
      <c r="E37" s="76">
        <v>12629</v>
      </c>
      <c r="F37" s="26">
        <v>16198</v>
      </c>
      <c r="G37" s="37">
        <f t="shared" si="4"/>
        <v>-0.22033584393135</v>
      </c>
      <c r="H37" s="38">
        <f t="shared" si="3"/>
        <v>5.2402489626555996E-3</v>
      </c>
      <c r="I37" s="192"/>
      <c r="J37" s="193"/>
      <c r="K37" s="193"/>
      <c r="L37" s="39">
        <v>30000</v>
      </c>
      <c r="M37" s="39">
        <v>50000</v>
      </c>
      <c r="N37" s="39">
        <v>40000</v>
      </c>
      <c r="O37" s="150"/>
      <c r="P37" s="150"/>
      <c r="Q37" s="150"/>
    </row>
    <row r="38" spans="1:19" ht="21.6" customHeight="1">
      <c r="A38" s="167" t="s">
        <v>74</v>
      </c>
      <c r="B38" s="46">
        <v>100127194542</v>
      </c>
      <c r="C38" s="41" t="s">
        <v>75</v>
      </c>
      <c r="D38" s="35">
        <v>50000</v>
      </c>
      <c r="E38" s="76">
        <v>9360</v>
      </c>
      <c r="F38" s="57">
        <v>7050</v>
      </c>
      <c r="G38" s="37">
        <f t="shared" si="4"/>
        <v>0.32765957446808502</v>
      </c>
      <c r="H38" s="38">
        <f t="shared" si="3"/>
        <v>3.88381742738589E-3</v>
      </c>
      <c r="I38" s="150" t="s">
        <v>368</v>
      </c>
      <c r="J38" s="161"/>
      <c r="K38" s="161"/>
      <c r="L38" s="39">
        <v>35000</v>
      </c>
      <c r="M38" s="39">
        <v>50000</v>
      </c>
      <c r="N38" s="39">
        <v>40000</v>
      </c>
      <c r="O38" s="150" t="s">
        <v>300</v>
      </c>
      <c r="P38" s="150"/>
      <c r="Q38" s="150"/>
    </row>
    <row r="39" spans="1:19" ht="28.7" customHeight="1">
      <c r="A39" s="169"/>
      <c r="B39" s="48">
        <v>100150693764</v>
      </c>
      <c r="C39" s="49" t="s">
        <v>77</v>
      </c>
      <c r="D39" s="35">
        <v>70000</v>
      </c>
      <c r="E39" s="36">
        <v>28488</v>
      </c>
      <c r="F39" s="26">
        <v>12792</v>
      </c>
      <c r="G39" s="37">
        <f t="shared" si="4"/>
        <v>1.22701688555347</v>
      </c>
      <c r="H39" s="38">
        <f t="shared" si="3"/>
        <v>1.1820746887966801E-2</v>
      </c>
      <c r="I39" s="161"/>
      <c r="J39" s="161"/>
      <c r="K39" s="161"/>
      <c r="L39" s="39">
        <v>40000</v>
      </c>
      <c r="M39" s="39">
        <v>70000</v>
      </c>
      <c r="N39" s="39">
        <v>60000</v>
      </c>
      <c r="O39" s="150"/>
      <c r="P39" s="150"/>
      <c r="Q39" s="150"/>
    </row>
    <row r="40" spans="1:19" ht="30.6" customHeight="1">
      <c r="A40" s="166"/>
      <c r="B40" s="46">
        <v>100325407774</v>
      </c>
      <c r="C40" s="41" t="s">
        <v>301</v>
      </c>
      <c r="D40" s="35">
        <v>40000</v>
      </c>
      <c r="E40" s="76">
        <v>8918</v>
      </c>
      <c r="F40" s="77" t="s">
        <v>57</v>
      </c>
      <c r="G40" s="78" t="s">
        <v>57</v>
      </c>
      <c r="H40" s="38">
        <f t="shared" si="3"/>
        <v>3.7004149377593402E-3</v>
      </c>
      <c r="I40" s="231" t="s">
        <v>603</v>
      </c>
      <c r="J40" s="235"/>
      <c r="K40" s="235"/>
      <c r="L40" s="39">
        <v>15000</v>
      </c>
      <c r="M40" s="39">
        <v>40000</v>
      </c>
      <c r="N40" s="39">
        <v>30000</v>
      </c>
      <c r="O40" s="242" t="s">
        <v>240</v>
      </c>
      <c r="P40" s="242"/>
      <c r="Q40" s="242"/>
    </row>
    <row r="41" spans="1:19" ht="14.25">
      <c r="A41" s="164" t="s">
        <v>78</v>
      </c>
      <c r="B41" s="129" t="s">
        <v>79</v>
      </c>
      <c r="C41" s="43" t="s">
        <v>80</v>
      </c>
      <c r="D41" s="35">
        <v>60000</v>
      </c>
      <c r="E41" s="36">
        <v>8800</v>
      </c>
      <c r="F41" s="77" t="s">
        <v>57</v>
      </c>
      <c r="G41" s="37" t="s">
        <v>57</v>
      </c>
      <c r="H41" s="38">
        <f t="shared" si="3"/>
        <v>3.6514522821576799E-3</v>
      </c>
      <c r="I41" s="189" t="s">
        <v>146</v>
      </c>
      <c r="J41" s="190"/>
      <c r="K41" s="190"/>
      <c r="L41" s="39">
        <v>30000</v>
      </c>
      <c r="M41" s="39">
        <v>60000</v>
      </c>
      <c r="N41" s="39">
        <v>55000</v>
      </c>
      <c r="O41" s="150" t="s">
        <v>303</v>
      </c>
      <c r="P41" s="150"/>
      <c r="Q41" s="150"/>
    </row>
    <row r="42" spans="1:19" ht="14.25">
      <c r="A42" s="164"/>
      <c r="B42" s="129" t="s">
        <v>82</v>
      </c>
      <c r="C42" s="49" t="s">
        <v>83</v>
      </c>
      <c r="D42" s="35">
        <v>40000</v>
      </c>
      <c r="E42" s="36">
        <v>6717</v>
      </c>
      <c r="F42" s="77" t="s">
        <v>57</v>
      </c>
      <c r="G42" s="37" t="s">
        <v>57</v>
      </c>
      <c r="H42" s="38">
        <f t="shared" si="3"/>
        <v>2.7871369294605801E-3</v>
      </c>
      <c r="I42" s="192"/>
      <c r="J42" s="193"/>
      <c r="K42" s="193"/>
      <c r="L42" s="39">
        <v>20000</v>
      </c>
      <c r="M42" s="39">
        <v>40000</v>
      </c>
      <c r="N42" s="39">
        <v>35000</v>
      </c>
      <c r="O42" s="150"/>
      <c r="P42" s="150"/>
      <c r="Q42" s="150"/>
    </row>
    <row r="43" spans="1:19" ht="14.25">
      <c r="A43" s="164"/>
      <c r="B43" s="48">
        <v>100230489825</v>
      </c>
      <c r="C43" s="43" t="s">
        <v>84</v>
      </c>
      <c r="D43" s="35">
        <v>250000</v>
      </c>
      <c r="E43" s="36">
        <v>35166</v>
      </c>
      <c r="F43" s="77" t="s">
        <v>57</v>
      </c>
      <c r="G43" s="37" t="s">
        <v>57</v>
      </c>
      <c r="H43" s="38">
        <f t="shared" si="3"/>
        <v>1.45917012448133E-2</v>
      </c>
      <c r="I43" s="189" t="s">
        <v>604</v>
      </c>
      <c r="J43" s="190"/>
      <c r="K43" s="190"/>
      <c r="L43" s="39">
        <v>150000</v>
      </c>
      <c r="M43" s="39">
        <v>250000</v>
      </c>
      <c r="N43" s="39">
        <v>200000</v>
      </c>
      <c r="O43" s="150"/>
      <c r="P43" s="150"/>
      <c r="Q43" s="150"/>
    </row>
    <row r="44" spans="1:19" ht="14.25">
      <c r="A44" s="164"/>
      <c r="B44" s="48">
        <v>100307579062</v>
      </c>
      <c r="C44" s="49" t="s">
        <v>85</v>
      </c>
      <c r="D44" s="35">
        <v>70000</v>
      </c>
      <c r="E44" s="36">
        <v>11451</v>
      </c>
      <c r="F44" s="77" t="s">
        <v>57</v>
      </c>
      <c r="G44" s="37" t="s">
        <v>57</v>
      </c>
      <c r="H44" s="38">
        <f t="shared" si="3"/>
        <v>4.7514522821576798E-3</v>
      </c>
      <c r="I44" s="192"/>
      <c r="J44" s="193"/>
      <c r="K44" s="193"/>
      <c r="L44" s="39">
        <v>40000</v>
      </c>
      <c r="M44" s="39">
        <v>70000</v>
      </c>
      <c r="N44" s="39">
        <v>50000</v>
      </c>
      <c r="O44" s="150"/>
      <c r="P44" s="150"/>
      <c r="Q44" s="150"/>
    </row>
    <row r="45" spans="1:19" ht="14.25">
      <c r="A45" s="52"/>
      <c r="B45" s="53"/>
      <c r="C45" s="53"/>
      <c r="D45" s="52"/>
      <c r="E45" s="53"/>
      <c r="F45" s="53"/>
      <c r="G45" s="53"/>
      <c r="H45" s="53"/>
      <c r="I45" s="53"/>
      <c r="J45" s="53"/>
      <c r="K45" s="53"/>
      <c r="L45" s="53"/>
      <c r="M45" s="53"/>
      <c r="N45" s="53"/>
      <c r="O45" s="53"/>
    </row>
    <row r="46" spans="1:19" ht="14.25">
      <c r="A46" s="52"/>
      <c r="B46" s="53"/>
      <c r="C46" s="53"/>
      <c r="D46" s="52"/>
      <c r="E46" s="53"/>
      <c r="F46" s="53"/>
      <c r="G46" s="53"/>
      <c r="H46" s="53"/>
      <c r="I46" s="53"/>
      <c r="J46" s="53"/>
      <c r="K46" s="53"/>
      <c r="L46" s="53"/>
      <c r="M46" s="53"/>
      <c r="N46" s="53"/>
      <c r="O46" s="53"/>
    </row>
    <row r="47" spans="1:19" ht="14.25">
      <c r="A47" s="237" t="s">
        <v>559</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290</v>
      </c>
      <c r="D48" s="54" t="s">
        <v>605</v>
      </c>
      <c r="E48" s="54" t="s">
        <v>129</v>
      </c>
      <c r="F48" s="54" t="s">
        <v>19</v>
      </c>
      <c r="G48" s="54" t="s">
        <v>20</v>
      </c>
      <c r="H48" s="238" t="s">
        <v>21</v>
      </c>
      <c r="I48" s="238"/>
      <c r="J48" s="238"/>
      <c r="K48" s="238"/>
      <c r="L48" s="55" t="s">
        <v>289</v>
      </c>
      <c r="M48" s="55" t="s">
        <v>290</v>
      </c>
      <c r="N48" s="55" t="s">
        <v>291</v>
      </c>
      <c r="O48" s="210" t="s">
        <v>373</v>
      </c>
      <c r="P48" s="210"/>
      <c r="Q48" s="210"/>
      <c r="R48" s="210" t="s">
        <v>374</v>
      </c>
      <c r="S48" s="210"/>
    </row>
    <row r="49" spans="1:19" ht="31.5" customHeight="1">
      <c r="A49" s="164" t="s">
        <v>88</v>
      </c>
      <c r="B49" s="40" t="s">
        <v>89</v>
      </c>
      <c r="C49" s="56" t="s">
        <v>310</v>
      </c>
      <c r="D49" s="57">
        <v>1482410.18</v>
      </c>
      <c r="E49" s="26">
        <v>1014545.08</v>
      </c>
      <c r="F49" s="28">
        <f t="shared" ref="F49:F52" si="5">(D49-E49)/E49</f>
        <v>0.46115752687894401</v>
      </c>
      <c r="G49" s="28">
        <f>D49/2410000</f>
        <v>0.61510795850622402</v>
      </c>
      <c r="H49" s="150" t="s">
        <v>606</v>
      </c>
      <c r="I49" s="150"/>
      <c r="J49" s="150"/>
      <c r="K49" s="150"/>
      <c r="L49" s="29" t="s">
        <v>309</v>
      </c>
      <c r="M49" s="56" t="s">
        <v>310</v>
      </c>
      <c r="N49" s="56" t="s">
        <v>311</v>
      </c>
      <c r="O49" s="231" t="s">
        <v>376</v>
      </c>
      <c r="P49" s="232"/>
      <c r="Q49" s="233"/>
      <c r="R49" s="150" t="s">
        <v>377</v>
      </c>
      <c r="S49" s="161"/>
    </row>
    <row r="50" spans="1:19" ht="28.5" customHeight="1">
      <c r="A50" s="165"/>
      <c r="B50" s="40" t="s">
        <v>91</v>
      </c>
      <c r="C50" s="56" t="s">
        <v>252</v>
      </c>
      <c r="D50" s="57">
        <v>751652.31</v>
      </c>
      <c r="E50" s="26">
        <v>509305.02</v>
      </c>
      <c r="F50" s="28">
        <f t="shared" si="5"/>
        <v>0.47583919357401999</v>
      </c>
      <c r="G50" s="28">
        <f>D50/2410000</f>
        <v>0.31188892531120299</v>
      </c>
      <c r="H50" s="150"/>
      <c r="I50" s="150"/>
      <c r="J50" s="150"/>
      <c r="K50" s="150"/>
      <c r="L50" s="29" t="s">
        <v>314</v>
      </c>
      <c r="M50" s="56" t="s">
        <v>252</v>
      </c>
      <c r="N50" s="56" t="s">
        <v>247</v>
      </c>
      <c r="O50" s="231" t="s">
        <v>378</v>
      </c>
      <c r="P50" s="232"/>
      <c r="Q50" s="233"/>
      <c r="R50" s="150" t="s">
        <v>379</v>
      </c>
      <c r="S50" s="161"/>
    </row>
    <row r="51" spans="1:19" ht="30.75" customHeight="1">
      <c r="A51" s="164" t="s">
        <v>92</v>
      </c>
      <c r="B51" s="58" t="s">
        <v>93</v>
      </c>
      <c r="C51" s="56" t="s">
        <v>319</v>
      </c>
      <c r="D51" s="57">
        <v>341553.61</v>
      </c>
      <c r="E51" s="26">
        <v>176862.78</v>
      </c>
      <c r="F51" s="28">
        <f t="shared" si="5"/>
        <v>0.931178566796247</v>
      </c>
      <c r="G51" s="28">
        <f>D51/2410000</f>
        <v>0.14172348962655601</v>
      </c>
      <c r="H51" s="150" t="s">
        <v>607</v>
      </c>
      <c r="I51" s="161"/>
      <c r="J51" s="161"/>
      <c r="K51" s="161"/>
      <c r="L51" s="29" t="s">
        <v>318</v>
      </c>
      <c r="M51" s="56" t="s">
        <v>319</v>
      </c>
      <c r="N51" s="56" t="s">
        <v>320</v>
      </c>
      <c r="O51" s="231" t="s">
        <v>381</v>
      </c>
      <c r="P51" s="232"/>
      <c r="Q51" s="233"/>
      <c r="R51" s="150" t="s">
        <v>322</v>
      </c>
      <c r="S51" s="161"/>
    </row>
    <row r="52" spans="1:19" ht="30.75" customHeight="1">
      <c r="A52" s="165"/>
      <c r="B52" s="40" t="s">
        <v>95</v>
      </c>
      <c r="C52" s="56" t="s">
        <v>324</v>
      </c>
      <c r="D52" s="57">
        <v>1154667</v>
      </c>
      <c r="E52" s="26">
        <v>461972</v>
      </c>
      <c r="F52" s="28">
        <f t="shared" si="5"/>
        <v>1.4994307014277899</v>
      </c>
      <c r="G52" s="28">
        <f>D52/2410000</f>
        <v>0.479114937759336</v>
      </c>
      <c r="H52" s="150" t="s">
        <v>382</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9"/>
      <c r="B54" s="53"/>
      <c r="C54" s="53"/>
      <c r="D54" s="53"/>
      <c r="E54" s="53"/>
      <c r="F54" s="53"/>
      <c r="G54" s="53"/>
      <c r="H54" s="53"/>
      <c r="I54" s="53"/>
      <c r="J54" s="53"/>
      <c r="K54" s="53"/>
      <c r="L54" s="53"/>
      <c r="M54" s="53"/>
      <c r="N54" s="53"/>
      <c r="O54" s="53"/>
    </row>
    <row r="55" spans="1:19" ht="21" customHeight="1">
      <c r="A55" s="55" t="s">
        <v>608</v>
      </c>
      <c r="B55" s="55" t="s">
        <v>98</v>
      </c>
      <c r="C55" s="55" t="s">
        <v>99</v>
      </c>
      <c r="D55" s="55" t="s">
        <v>100</v>
      </c>
      <c r="E55" s="265" t="s">
        <v>101</v>
      </c>
      <c r="F55" s="266"/>
      <c r="G55" s="210" t="s">
        <v>102</v>
      </c>
      <c r="H55" s="210"/>
      <c r="I55" s="210" t="s">
        <v>21</v>
      </c>
      <c r="J55" s="265"/>
      <c r="K55" s="210" t="s">
        <v>564</v>
      </c>
      <c r="L55" s="210"/>
      <c r="M55" s="210"/>
      <c r="N55" s="59"/>
    </row>
    <row r="56" spans="1:19" ht="29.25" customHeight="1">
      <c r="A56" s="25" t="s">
        <v>89</v>
      </c>
      <c r="B56" s="26">
        <v>5392</v>
      </c>
      <c r="C56" s="26">
        <v>419244</v>
      </c>
      <c r="D56" s="60">
        <v>77.75</v>
      </c>
      <c r="E56" s="269" t="s">
        <v>609</v>
      </c>
      <c r="F56" s="270"/>
      <c r="G56" s="150" t="s">
        <v>610</v>
      </c>
      <c r="H56" s="150"/>
      <c r="I56" s="189" t="s">
        <v>611</v>
      </c>
      <c r="J56" s="190"/>
      <c r="K56" s="150" t="s">
        <v>585</v>
      </c>
      <c r="L56" s="150"/>
      <c r="M56" s="150"/>
      <c r="N56" s="44"/>
    </row>
    <row r="57" spans="1:19" ht="21.75" customHeight="1">
      <c r="A57" s="25" t="s">
        <v>19</v>
      </c>
      <c r="B57" s="28">
        <v>0.92090000000000005</v>
      </c>
      <c r="C57" s="28">
        <v>0.91110000000000002</v>
      </c>
      <c r="D57" s="28">
        <v>-5.1000000000000004E-3</v>
      </c>
      <c r="E57" s="270"/>
      <c r="F57" s="270"/>
      <c r="G57" s="150"/>
      <c r="H57" s="150"/>
      <c r="I57" s="195"/>
      <c r="J57" s="176"/>
      <c r="K57" s="150"/>
      <c r="L57" s="150"/>
      <c r="M57" s="150"/>
      <c r="N57" s="44"/>
    </row>
    <row r="58" spans="1:19" ht="27" customHeight="1">
      <c r="A58" s="25" t="s">
        <v>91</v>
      </c>
      <c r="B58" s="26">
        <v>3022</v>
      </c>
      <c r="C58" s="26">
        <v>319596</v>
      </c>
      <c r="D58" s="60">
        <v>105.76</v>
      </c>
      <c r="E58" s="271" t="s">
        <v>612</v>
      </c>
      <c r="F58" s="272"/>
      <c r="G58" s="150" t="s">
        <v>613</v>
      </c>
      <c r="H58" s="150"/>
      <c r="I58" s="195"/>
      <c r="J58" s="176"/>
      <c r="K58" s="150"/>
      <c r="L58" s="150"/>
      <c r="M58" s="150"/>
      <c r="N58" s="44"/>
    </row>
    <row r="59" spans="1:19" ht="25.5" customHeight="1">
      <c r="A59" s="25" t="s">
        <v>19</v>
      </c>
      <c r="B59" s="28">
        <v>0.53790000000000004</v>
      </c>
      <c r="C59" s="28">
        <v>1.1404000000000001</v>
      </c>
      <c r="D59" s="28">
        <v>0.39179999999999998</v>
      </c>
      <c r="E59" s="272"/>
      <c r="F59" s="272"/>
      <c r="G59" s="150"/>
      <c r="H59" s="150"/>
      <c r="I59" s="192"/>
      <c r="J59" s="193"/>
      <c r="K59" s="150"/>
      <c r="L59" s="150"/>
      <c r="M59" s="150"/>
      <c r="N59" s="44"/>
    </row>
    <row r="60" spans="1:19" ht="29.25" customHeight="1">
      <c r="A60" s="25" t="s">
        <v>97</v>
      </c>
      <c r="B60" s="26">
        <f>B56+B58</f>
        <v>8414</v>
      </c>
      <c r="C60" s="26">
        <f>C56+C58</f>
        <v>738840</v>
      </c>
      <c r="D60" s="60">
        <v>87.81</v>
      </c>
      <c r="E60" s="273" t="s">
        <v>391</v>
      </c>
      <c r="F60" s="273"/>
      <c r="G60" s="273"/>
      <c r="H60" s="273"/>
      <c r="I60" s="273"/>
      <c r="J60" s="274"/>
      <c r="K60" s="150"/>
      <c r="L60" s="150"/>
      <c r="M60" s="150"/>
      <c r="N60" s="44"/>
    </row>
    <row r="61" spans="1:19" ht="27.75" customHeight="1">
      <c r="A61" s="42" t="s">
        <v>19</v>
      </c>
      <c r="B61" s="28">
        <v>0.76319999999999999</v>
      </c>
      <c r="C61" s="28">
        <v>1.004</v>
      </c>
      <c r="D61" s="28">
        <v>0.1366</v>
      </c>
      <c r="E61" s="273"/>
      <c r="F61" s="273"/>
      <c r="G61" s="273"/>
      <c r="H61" s="273"/>
      <c r="I61" s="273"/>
      <c r="J61" s="274"/>
      <c r="K61" s="150"/>
      <c r="L61" s="150"/>
      <c r="M61" s="150"/>
      <c r="N61" s="44"/>
    </row>
    <row r="64" spans="1:19" ht="15">
      <c r="A64" s="165" t="s">
        <v>109</v>
      </c>
      <c r="B64" s="62" t="s">
        <v>110</v>
      </c>
      <c r="C64" s="62" t="s">
        <v>111</v>
      </c>
      <c r="D64" s="62" t="s">
        <v>112</v>
      </c>
      <c r="E64" s="62" t="s">
        <v>113</v>
      </c>
      <c r="F64" s="62" t="s">
        <v>262</v>
      </c>
      <c r="G64" s="62" t="s">
        <v>263</v>
      </c>
      <c r="I64" s="63" t="s">
        <v>42</v>
      </c>
      <c r="J64" s="63" t="s">
        <v>392</v>
      </c>
      <c r="K64" s="63" t="s">
        <v>393</v>
      </c>
      <c r="L64" s="63" t="s">
        <v>394</v>
      </c>
      <c r="M64" s="63" t="s">
        <v>395</v>
      </c>
      <c r="N64" s="63" t="s">
        <v>396</v>
      </c>
      <c r="O64" s="63" t="s">
        <v>397</v>
      </c>
      <c r="P64" s="63" t="s">
        <v>398</v>
      </c>
    </row>
    <row r="65" spans="1:16" ht="14.25">
      <c r="A65" s="165"/>
      <c r="B65" s="25" t="s">
        <v>614</v>
      </c>
      <c r="C65" s="72">
        <v>3260</v>
      </c>
      <c r="D65" s="72">
        <v>3299</v>
      </c>
      <c r="E65" s="72">
        <v>60768</v>
      </c>
      <c r="F65" s="212">
        <v>3</v>
      </c>
      <c r="G65" s="212">
        <v>545</v>
      </c>
      <c r="I65" s="65" t="s">
        <v>400</v>
      </c>
      <c r="J65" s="50" t="s">
        <v>401</v>
      </c>
      <c r="K65" s="25">
        <v>7.9</v>
      </c>
      <c r="L65" s="25">
        <v>1</v>
      </c>
      <c r="M65" s="25">
        <v>9000</v>
      </c>
      <c r="N65" s="25">
        <v>9000</v>
      </c>
      <c r="O65" s="25" t="s">
        <v>402</v>
      </c>
      <c r="P65" s="239" t="s">
        <v>403</v>
      </c>
    </row>
    <row r="66" spans="1:16" ht="14.25">
      <c r="A66" s="165"/>
      <c r="B66" s="42" t="s">
        <v>117</v>
      </c>
      <c r="C66" s="42">
        <v>117</v>
      </c>
      <c r="D66" s="42">
        <v>138</v>
      </c>
      <c r="E66" s="72">
        <v>5156</v>
      </c>
      <c r="F66" s="213"/>
      <c r="G66" s="213"/>
      <c r="I66" s="65" t="s">
        <v>404</v>
      </c>
      <c r="J66" s="50" t="s">
        <v>405</v>
      </c>
      <c r="K66" s="25">
        <v>14.9</v>
      </c>
      <c r="L66" s="25">
        <v>1</v>
      </c>
      <c r="M66" s="25">
        <v>500</v>
      </c>
      <c r="N66" s="25">
        <v>500</v>
      </c>
      <c r="O66" s="25" t="s">
        <v>402</v>
      </c>
      <c r="P66" s="240"/>
    </row>
    <row r="67" spans="1:16" ht="14.25">
      <c r="A67" s="165"/>
      <c r="B67" s="42" t="s">
        <v>118</v>
      </c>
      <c r="C67" s="42">
        <v>508</v>
      </c>
      <c r="D67" s="42">
        <v>571</v>
      </c>
      <c r="E67" s="73">
        <v>27723.19</v>
      </c>
      <c r="F67" s="168"/>
      <c r="G67" s="168"/>
      <c r="I67" s="65" t="s">
        <v>406</v>
      </c>
      <c r="J67" s="50" t="s">
        <v>407</v>
      </c>
      <c r="K67" s="25">
        <v>14.9</v>
      </c>
      <c r="L67" s="25">
        <v>1</v>
      </c>
      <c r="M67" s="25">
        <v>500</v>
      </c>
      <c r="N67" s="25">
        <v>500</v>
      </c>
      <c r="O67" s="25" t="s">
        <v>402</v>
      </c>
      <c r="P67" s="240"/>
    </row>
    <row r="68" spans="1:16" ht="36.75" customHeight="1">
      <c r="A68" s="187" t="s">
        <v>615</v>
      </c>
      <c r="B68" s="188"/>
      <c r="C68" s="188"/>
      <c r="D68" s="188"/>
      <c r="E68" s="188"/>
      <c r="F68" s="188"/>
      <c r="G68" s="188"/>
      <c r="I68" s="65" t="s">
        <v>409</v>
      </c>
      <c r="J68" s="50" t="s">
        <v>410</v>
      </c>
      <c r="K68" s="25">
        <v>9.9</v>
      </c>
      <c r="L68" s="25">
        <v>2.9</v>
      </c>
      <c r="M68" s="25">
        <v>2000</v>
      </c>
      <c r="N68" s="25">
        <v>5800</v>
      </c>
      <c r="O68" s="25" t="s">
        <v>402</v>
      </c>
      <c r="P68" s="240"/>
    </row>
    <row r="69" spans="1:16" ht="14.25">
      <c r="I69" s="65" t="s">
        <v>273</v>
      </c>
      <c r="J69" s="50" t="s">
        <v>411</v>
      </c>
      <c r="K69" s="25">
        <v>9.9</v>
      </c>
      <c r="L69" s="25">
        <v>2.9</v>
      </c>
      <c r="M69" s="25">
        <v>2500</v>
      </c>
      <c r="N69" s="25">
        <v>7250</v>
      </c>
      <c r="O69" s="25" t="s">
        <v>402</v>
      </c>
      <c r="P69" s="240"/>
    </row>
    <row r="70" spans="1:16" ht="14.25">
      <c r="I70" s="65" t="s">
        <v>412</v>
      </c>
      <c r="J70" s="50" t="s">
        <v>413</v>
      </c>
      <c r="K70" s="25">
        <v>25.9</v>
      </c>
      <c r="L70" s="25">
        <v>9.9</v>
      </c>
      <c r="M70" s="25">
        <v>4000</v>
      </c>
      <c r="N70" s="25">
        <v>39600</v>
      </c>
      <c r="O70" s="25" t="s">
        <v>402</v>
      </c>
      <c r="P70" s="240"/>
    </row>
    <row r="71" spans="1:16" ht="14.25">
      <c r="A71" s="32" t="s">
        <v>42</v>
      </c>
      <c r="B71" s="32" t="s">
        <v>43</v>
      </c>
      <c r="C71" s="32" t="s">
        <v>266</v>
      </c>
      <c r="D71" s="32" t="s">
        <v>267</v>
      </c>
      <c r="E71" s="32" t="s">
        <v>268</v>
      </c>
      <c r="I71" s="65" t="s">
        <v>414</v>
      </c>
      <c r="J71" s="50" t="s">
        <v>415</v>
      </c>
      <c r="K71" s="25">
        <v>6.9</v>
      </c>
      <c r="L71" s="25">
        <v>4.9000000000000004</v>
      </c>
      <c r="M71" s="25">
        <v>1500</v>
      </c>
      <c r="N71" s="25">
        <v>7350</v>
      </c>
      <c r="O71" s="25" t="s">
        <v>402</v>
      </c>
      <c r="P71" s="240"/>
    </row>
    <row r="72" spans="1:16" ht="14.25">
      <c r="A72" s="133" t="s">
        <v>269</v>
      </c>
      <c r="B72" s="25" t="s">
        <v>270</v>
      </c>
      <c r="C72" s="42">
        <v>17.899999999999999</v>
      </c>
      <c r="D72" s="42">
        <v>1675</v>
      </c>
      <c r="E72" s="26">
        <f>D72*C72</f>
        <v>29982.5</v>
      </c>
      <c r="I72" s="130" t="s">
        <v>269</v>
      </c>
      <c r="J72" s="50" t="s">
        <v>347</v>
      </c>
      <c r="K72" s="42">
        <v>29</v>
      </c>
      <c r="L72" s="42">
        <v>17.899999999999999</v>
      </c>
      <c r="M72" s="42">
        <v>5000</v>
      </c>
      <c r="N72" s="42">
        <f t="shared" ref="N72:N77" si="6">M72*L72</f>
        <v>89500</v>
      </c>
      <c r="O72" s="25" t="s">
        <v>416</v>
      </c>
      <c r="P72" s="240"/>
    </row>
    <row r="73" spans="1:16" ht="14.25">
      <c r="A73" s="133" t="s">
        <v>271</v>
      </c>
      <c r="B73" s="25" t="s">
        <v>417</v>
      </c>
      <c r="C73" s="42">
        <v>19.899999999999999</v>
      </c>
      <c r="D73" s="42">
        <v>289</v>
      </c>
      <c r="E73" s="26">
        <f>D73*C73</f>
        <v>5751.1</v>
      </c>
      <c r="I73" s="130" t="s">
        <v>271</v>
      </c>
      <c r="J73" s="50" t="s">
        <v>417</v>
      </c>
      <c r="K73" s="42">
        <v>39</v>
      </c>
      <c r="L73" s="42">
        <v>19.899999999999999</v>
      </c>
      <c r="M73" s="42">
        <v>3000</v>
      </c>
      <c r="N73" s="42">
        <f t="shared" si="6"/>
        <v>59700</v>
      </c>
      <c r="O73" s="25" t="s">
        <v>416</v>
      </c>
      <c r="P73" s="240"/>
    </row>
    <row r="74" spans="1:16" ht="14.25">
      <c r="A74" s="133" t="s">
        <v>412</v>
      </c>
      <c r="B74" s="25" t="s">
        <v>573</v>
      </c>
      <c r="C74" s="42">
        <v>9.9</v>
      </c>
      <c r="D74" s="42">
        <v>176</v>
      </c>
      <c r="E74" s="26">
        <f>D74*C74</f>
        <v>1742.4</v>
      </c>
      <c r="I74" s="130" t="s">
        <v>419</v>
      </c>
      <c r="J74" s="50" t="s">
        <v>420</v>
      </c>
      <c r="K74" s="42">
        <v>49</v>
      </c>
      <c r="L74" s="42">
        <v>29.9</v>
      </c>
      <c r="M74" s="42">
        <v>1000</v>
      </c>
      <c r="N74" s="42">
        <f t="shared" si="6"/>
        <v>29900</v>
      </c>
      <c r="O74" s="25" t="s">
        <v>416</v>
      </c>
      <c r="P74" s="240"/>
    </row>
    <row r="75" spans="1:16" ht="14.25">
      <c r="I75" s="130" t="s">
        <v>275</v>
      </c>
      <c r="J75" s="50" t="s">
        <v>421</v>
      </c>
      <c r="K75" s="42">
        <v>29.9</v>
      </c>
      <c r="L75" s="25">
        <v>19.899999999999999</v>
      </c>
      <c r="M75" s="25">
        <v>800</v>
      </c>
      <c r="N75" s="42">
        <f t="shared" si="6"/>
        <v>15920</v>
      </c>
      <c r="O75" s="25" t="s">
        <v>416</v>
      </c>
      <c r="P75" s="240"/>
    </row>
    <row r="76" spans="1:16" ht="14.25">
      <c r="I76" s="130" t="s">
        <v>422</v>
      </c>
      <c r="J76" s="50" t="s">
        <v>423</v>
      </c>
      <c r="K76" s="42">
        <v>39.9</v>
      </c>
      <c r="L76" s="25">
        <v>25</v>
      </c>
      <c r="M76" s="25">
        <v>1000</v>
      </c>
      <c r="N76" s="42">
        <f t="shared" si="6"/>
        <v>25000</v>
      </c>
      <c r="O76" s="25" t="s">
        <v>416</v>
      </c>
      <c r="P76" s="240"/>
    </row>
    <row r="77" spans="1:16" ht="14.25">
      <c r="A77" s="267" t="s">
        <v>110</v>
      </c>
      <c r="B77" s="267" t="s">
        <v>424</v>
      </c>
      <c r="C77" s="267"/>
      <c r="D77" s="267"/>
      <c r="E77" s="74"/>
      <c r="I77" s="134" t="s">
        <v>425</v>
      </c>
      <c r="J77" s="66" t="s">
        <v>426</v>
      </c>
      <c r="K77" s="33">
        <v>49.9</v>
      </c>
      <c r="L77" s="45">
        <v>29.9</v>
      </c>
      <c r="M77" s="45">
        <v>1000</v>
      </c>
      <c r="N77" s="33">
        <f t="shared" si="6"/>
        <v>29900</v>
      </c>
      <c r="O77" s="25" t="s">
        <v>416</v>
      </c>
      <c r="P77" s="240"/>
    </row>
    <row r="78" spans="1:16" ht="14.25">
      <c r="A78" s="267"/>
      <c r="B78" s="58" t="s">
        <v>427</v>
      </c>
      <c r="C78" s="58" t="s">
        <v>428</v>
      </c>
      <c r="D78" s="58" t="s">
        <v>429</v>
      </c>
      <c r="E78" s="74"/>
      <c r="I78" s="268" t="s">
        <v>430</v>
      </c>
      <c r="J78" s="268"/>
      <c r="K78" s="268"/>
      <c r="L78" s="268"/>
      <c r="M78" s="268"/>
      <c r="N78" s="268"/>
      <c r="O78" s="268"/>
      <c r="P78" s="268"/>
    </row>
    <row r="79" spans="1:16" ht="14.25">
      <c r="A79" s="70">
        <v>46116</v>
      </c>
      <c r="B79" s="42">
        <v>4033</v>
      </c>
      <c r="C79" s="42">
        <v>1372.85</v>
      </c>
      <c r="D79" s="42">
        <v>2234</v>
      </c>
      <c r="E79" s="22" t="s">
        <v>431</v>
      </c>
    </row>
    <row r="80" spans="1:16" ht="14.25">
      <c r="A80" s="70">
        <v>46124</v>
      </c>
      <c r="B80" s="42">
        <v>40490</v>
      </c>
      <c r="C80" s="42">
        <v>5092.3999999999996</v>
      </c>
      <c r="D80" s="42">
        <v>19856</v>
      </c>
      <c r="E80" s="22" t="s">
        <v>432</v>
      </c>
    </row>
  </sheetData>
  <sheetProtection formatCells="0" formatColumns="0" formatRows="0" insertColumns="0" insertRows="0" insertHyperlinks="0" deleteColumns="0" deleteRows="0" sort="0" autoFilter="0" pivotTables="0"/>
  <mergeCells count="70">
    <mergeCell ref="E60:J61"/>
    <mergeCell ref="K56:M61"/>
    <mergeCell ref="E56:F57"/>
    <mergeCell ref="G56:H57"/>
    <mergeCell ref="I56:J59"/>
    <mergeCell ref="E58:F59"/>
    <mergeCell ref="G58:H59"/>
    <mergeCell ref="P65:P77"/>
    <mergeCell ref="E6:G7"/>
    <mergeCell ref="G12:J13"/>
    <mergeCell ref="G16:J17"/>
    <mergeCell ref="I25:K26"/>
    <mergeCell ref="O25:Q31"/>
    <mergeCell ref="I27:K28"/>
    <mergeCell ref="I29:K31"/>
    <mergeCell ref="I32:K37"/>
    <mergeCell ref="O32:Q37"/>
    <mergeCell ref="I38:K39"/>
    <mergeCell ref="O38:Q39"/>
    <mergeCell ref="I41:K42"/>
    <mergeCell ref="O41:Q44"/>
    <mergeCell ref="I43:K44"/>
    <mergeCell ref="H49:K50"/>
    <mergeCell ref="A68:G68"/>
    <mergeCell ref="B77:D77"/>
    <mergeCell ref="I78:P78"/>
    <mergeCell ref="A12:A13"/>
    <mergeCell ref="A14:A15"/>
    <mergeCell ref="A16:A18"/>
    <mergeCell ref="A25:A31"/>
    <mergeCell ref="A32:A37"/>
    <mergeCell ref="A38:A40"/>
    <mergeCell ref="A41:A44"/>
    <mergeCell ref="A49:A50"/>
    <mergeCell ref="A51:A52"/>
    <mergeCell ref="A64:A67"/>
    <mergeCell ref="A77:A78"/>
    <mergeCell ref="F65:F67"/>
    <mergeCell ref="G65:G67"/>
    <mergeCell ref="H52:K52"/>
    <mergeCell ref="O52:Q52"/>
    <mergeCell ref="R52:S52"/>
    <mergeCell ref="E55:F55"/>
    <mergeCell ref="G55:H55"/>
    <mergeCell ref="I55:J55"/>
    <mergeCell ref="K55:M55"/>
    <mergeCell ref="O49:Q49"/>
    <mergeCell ref="R49:S49"/>
    <mergeCell ref="O50:Q50"/>
    <mergeCell ref="R50:S50"/>
    <mergeCell ref="H51:K51"/>
    <mergeCell ref="O51:Q51"/>
    <mergeCell ref="R51:S51"/>
    <mergeCell ref="I40:K40"/>
    <mergeCell ref="O40:Q40"/>
    <mergeCell ref="A47:S47"/>
    <mergeCell ref="A48:B48"/>
    <mergeCell ref="H48:K48"/>
    <mergeCell ref="O48:Q48"/>
    <mergeCell ref="R48:S48"/>
    <mergeCell ref="G15:J15"/>
    <mergeCell ref="G18:J18"/>
    <mergeCell ref="A23:Q23"/>
    <mergeCell ref="I24:K24"/>
    <mergeCell ref="O24:Q24"/>
    <mergeCell ref="A1:G1"/>
    <mergeCell ref="A10:J10"/>
    <mergeCell ref="A11:B11"/>
    <mergeCell ref="G11:J11"/>
    <mergeCell ref="G14:J14"/>
  </mergeCells>
  <phoneticPr fontId="15" type="noConversion"/>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S87"/>
  <sheetViews>
    <sheetView workbookViewId="0">
      <selection activeCell="D45" sqref="D45:H45"/>
    </sheetView>
  </sheetViews>
  <sheetFormatPr defaultColWidth="9" defaultRowHeight="13.5"/>
  <cols>
    <col min="1" max="1" width="12.25" customWidth="1"/>
    <col min="2" max="2" width="14.375" customWidth="1"/>
    <col min="3" max="3" width="26.125" customWidth="1"/>
    <col min="5" max="5" width="15.125" customWidth="1"/>
    <col min="6" max="6" width="17.375" customWidth="1"/>
    <col min="7" max="7" width="24.875" customWidth="1"/>
    <col min="8" max="8" width="16" customWidth="1"/>
    <col min="9" max="10" width="16.625" customWidth="1"/>
    <col min="15" max="15" width="17.125" customWidth="1"/>
  </cols>
  <sheetData>
    <row r="1" spans="1:10" ht="14.25">
      <c r="A1" s="136" t="s">
        <v>616</v>
      </c>
      <c r="B1" s="137"/>
      <c r="C1" s="137"/>
      <c r="D1" s="137"/>
      <c r="E1" s="137"/>
      <c r="F1" s="137"/>
      <c r="G1" s="137"/>
    </row>
    <row r="2" spans="1:10" ht="14.25">
      <c r="A2" s="4" t="s">
        <v>1</v>
      </c>
      <c r="B2" s="4" t="s">
        <v>2</v>
      </c>
      <c r="C2" s="4" t="s">
        <v>3</v>
      </c>
      <c r="D2" s="4" t="s">
        <v>4</v>
      </c>
      <c r="E2" s="4" t="s">
        <v>5</v>
      </c>
      <c r="F2" s="4" t="s">
        <v>6</v>
      </c>
      <c r="G2" s="4" t="s">
        <v>7</v>
      </c>
    </row>
    <row r="3" spans="1:10" ht="14.25">
      <c r="A3" s="5" t="s">
        <v>9</v>
      </c>
      <c r="B3" s="17">
        <v>716</v>
      </c>
      <c r="C3" s="17">
        <v>904</v>
      </c>
      <c r="D3" s="7">
        <f t="shared" ref="D3:D7" si="0">(C3-B3)/B3</f>
        <v>0.26256983240223503</v>
      </c>
      <c r="E3" s="7">
        <f>B3/(B3+B4+B5)</f>
        <v>0.39689578713968998</v>
      </c>
      <c r="F3" s="7">
        <f>C3/(C3+C4+C5)</f>
        <v>0.32944606413994199</v>
      </c>
      <c r="G3" s="7">
        <f>F3-E3</f>
        <v>-6.7449722999748302E-2</v>
      </c>
      <c r="H3" s="22"/>
    </row>
    <row r="4" spans="1:10" ht="14.25">
      <c r="A4" s="8" t="s">
        <v>11</v>
      </c>
      <c r="B4" s="17">
        <v>890</v>
      </c>
      <c r="C4" s="17">
        <v>1585</v>
      </c>
      <c r="D4" s="7">
        <f t="shared" si="0"/>
        <v>0.78089887640449396</v>
      </c>
      <c r="E4" s="7">
        <f>B4/(B4+B5+B3)</f>
        <v>0.49334811529933498</v>
      </c>
      <c r="F4" s="7">
        <f>C4/(C3+C4+C5)</f>
        <v>0.57762390670553898</v>
      </c>
      <c r="G4" s="7">
        <f>F4-E4</f>
        <v>8.4275791406204295E-2</v>
      </c>
    </row>
    <row r="5" spans="1:10" ht="14.25">
      <c r="A5" s="8" t="s">
        <v>12</v>
      </c>
      <c r="B5" s="17">
        <v>198</v>
      </c>
      <c r="C5" s="17">
        <v>255</v>
      </c>
      <c r="D5" s="7">
        <f t="shared" si="0"/>
        <v>0.28787878787878801</v>
      </c>
      <c r="E5" s="13">
        <f>B5/(B5+B4+B3)</f>
        <v>0.109756097560976</v>
      </c>
      <c r="F5" s="13">
        <f>C5/(C3+C4+C5)</f>
        <v>9.2930029154519006E-2</v>
      </c>
      <c r="G5" s="13">
        <f>F5-E5</f>
        <v>-1.6826068406457E-2</v>
      </c>
    </row>
    <row r="6" spans="1:10" ht="14.25">
      <c r="A6" s="8" t="s">
        <v>13</v>
      </c>
      <c r="B6" s="18">
        <v>134</v>
      </c>
      <c r="C6" s="18">
        <v>194</v>
      </c>
      <c r="D6" s="7">
        <f t="shared" si="0"/>
        <v>0.44776119402985098</v>
      </c>
      <c r="E6" s="287" t="s">
        <v>617</v>
      </c>
      <c r="F6" s="288"/>
      <c r="G6" s="288"/>
    </row>
    <row r="7" spans="1:10" ht="47.1" customHeight="1">
      <c r="A7" s="19" t="s">
        <v>14</v>
      </c>
      <c r="B7" s="20">
        <v>123</v>
      </c>
      <c r="C7" s="21">
        <v>156</v>
      </c>
      <c r="D7" s="7">
        <f t="shared" si="0"/>
        <v>0.26829268292682901</v>
      </c>
      <c r="E7" s="288"/>
      <c r="F7" s="288"/>
      <c r="G7" s="288"/>
    </row>
    <row r="10" spans="1:10" ht="14.25">
      <c r="A10" s="141" t="s">
        <v>618</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890588</v>
      </c>
      <c r="D12" s="26">
        <v>543377</v>
      </c>
      <c r="E12" s="27">
        <f t="shared" ref="E12:E18" si="1">(C12-D12)/D12</f>
        <v>0.63898729611301197</v>
      </c>
      <c r="F12" s="28">
        <f>C12/1940000</f>
        <v>0.459065979381443</v>
      </c>
      <c r="G12" s="228" t="s">
        <v>619</v>
      </c>
      <c r="H12" s="254"/>
      <c r="I12" s="254"/>
      <c r="J12" s="255"/>
    </row>
    <row r="13" spans="1:10" ht="14.25">
      <c r="A13" s="164"/>
      <c r="B13" s="25" t="s">
        <v>25</v>
      </c>
      <c r="C13" s="26">
        <v>60202</v>
      </c>
      <c r="D13" s="26">
        <v>53255</v>
      </c>
      <c r="E13" s="27">
        <f t="shared" si="1"/>
        <v>0.130447845272744</v>
      </c>
      <c r="F13" s="28">
        <f t="shared" ref="F13:F18" si="2">C13/1940000</f>
        <v>3.1031958762886599E-2</v>
      </c>
      <c r="G13" s="256"/>
      <c r="H13" s="257"/>
      <c r="I13" s="257"/>
      <c r="J13" s="258"/>
    </row>
    <row r="14" spans="1:10" ht="14.25">
      <c r="A14" s="164" t="s">
        <v>26</v>
      </c>
      <c r="B14" s="25" t="s">
        <v>27</v>
      </c>
      <c r="C14" s="26">
        <v>868378.7</v>
      </c>
      <c r="D14" s="26">
        <v>883358.36</v>
      </c>
      <c r="E14" s="27">
        <f t="shared" si="1"/>
        <v>-1.6957625215660001E-2</v>
      </c>
      <c r="F14" s="28">
        <f t="shared" si="2"/>
        <v>0.447617886597938</v>
      </c>
      <c r="G14" s="146" t="s">
        <v>620</v>
      </c>
      <c r="H14" s="147"/>
      <c r="I14" s="147"/>
      <c r="J14" s="147"/>
    </row>
    <row r="15" spans="1:10" ht="14.25">
      <c r="A15" s="164"/>
      <c r="B15" s="25" t="s">
        <v>29</v>
      </c>
      <c r="C15" s="26">
        <v>508975</v>
      </c>
      <c r="D15" s="26">
        <v>183537</v>
      </c>
      <c r="E15" s="27">
        <f t="shared" si="1"/>
        <v>1.77314655900445</v>
      </c>
      <c r="F15" s="28">
        <f t="shared" si="2"/>
        <v>0.26235824742267999</v>
      </c>
      <c r="G15" s="146" t="s">
        <v>621</v>
      </c>
      <c r="H15" s="147"/>
      <c r="I15" s="147"/>
      <c r="J15" s="147"/>
    </row>
    <row r="16" spans="1:10" ht="14.25">
      <c r="A16" s="164" t="s">
        <v>31</v>
      </c>
      <c r="B16" s="25" t="s">
        <v>34</v>
      </c>
      <c r="C16" s="26">
        <v>80902.289999999994</v>
      </c>
      <c r="D16" s="29">
        <v>22721.62</v>
      </c>
      <c r="E16" s="27">
        <f t="shared" si="1"/>
        <v>2.56058634903673</v>
      </c>
      <c r="F16" s="28">
        <f t="shared" si="2"/>
        <v>4.1702211340206199E-2</v>
      </c>
      <c r="G16" s="195" t="s">
        <v>622</v>
      </c>
      <c r="H16" s="176"/>
      <c r="I16" s="176"/>
      <c r="J16" s="177"/>
    </row>
    <row r="17" spans="1:17" ht="14.25">
      <c r="A17" s="164"/>
      <c r="B17" s="25" t="s">
        <v>36</v>
      </c>
      <c r="C17" s="26">
        <v>30346</v>
      </c>
      <c r="D17" s="26">
        <v>123134</v>
      </c>
      <c r="E17" s="27">
        <f t="shared" si="1"/>
        <v>-0.75355303977780297</v>
      </c>
      <c r="F17" s="28">
        <f t="shared" si="2"/>
        <v>1.5642268041237101E-2</v>
      </c>
      <c r="G17" s="195"/>
      <c r="H17" s="176"/>
      <c r="I17" s="176"/>
      <c r="J17" s="177"/>
    </row>
    <row r="18" spans="1:17" ht="34.5" customHeight="1">
      <c r="A18" s="164"/>
      <c r="B18" s="25" t="s">
        <v>37</v>
      </c>
      <c r="C18" s="26">
        <v>62000</v>
      </c>
      <c r="D18" s="26">
        <v>98000</v>
      </c>
      <c r="E18" s="27">
        <f t="shared" si="1"/>
        <v>-0.36734693877551</v>
      </c>
      <c r="F18" s="28">
        <f t="shared" si="2"/>
        <v>3.1958762886597901E-2</v>
      </c>
      <c r="G18" s="150" t="s">
        <v>623</v>
      </c>
      <c r="H18" s="161"/>
      <c r="I18" s="161"/>
      <c r="J18" s="161"/>
    </row>
    <row r="19" spans="1:17" ht="14.25">
      <c r="C19" s="30"/>
      <c r="D19" s="30"/>
      <c r="E19" s="31"/>
    </row>
    <row r="23" spans="1:17" ht="14.25">
      <c r="A23" s="251" t="s">
        <v>624</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291</v>
      </c>
      <c r="E24" s="32" t="s">
        <v>625</v>
      </c>
      <c r="F24" s="32" t="s">
        <v>129</v>
      </c>
      <c r="G24" s="32" t="s">
        <v>19</v>
      </c>
      <c r="H24" s="32" t="s">
        <v>20</v>
      </c>
      <c r="I24" s="153" t="s">
        <v>21</v>
      </c>
      <c r="J24" s="153"/>
      <c r="K24" s="153"/>
      <c r="L24" s="32" t="s">
        <v>289</v>
      </c>
      <c r="M24" s="32" t="s">
        <v>290</v>
      </c>
      <c r="N24" s="32" t="s">
        <v>291</v>
      </c>
      <c r="O24" s="153" t="s">
        <v>292</v>
      </c>
      <c r="P24" s="153"/>
      <c r="Q24" s="153"/>
    </row>
    <row r="25" spans="1:17" ht="14.25">
      <c r="A25" s="212" t="s">
        <v>44</v>
      </c>
      <c r="B25" s="128" t="s">
        <v>45</v>
      </c>
      <c r="C25" s="34" t="s">
        <v>46</v>
      </c>
      <c r="D25" s="35">
        <v>1300000</v>
      </c>
      <c r="E25" s="36">
        <v>409412</v>
      </c>
      <c r="F25" s="29">
        <v>155864</v>
      </c>
      <c r="G25" s="37">
        <f t="shared" ref="G25:G28" si="3">(E25-F25)/F25</f>
        <v>1.6267258635733699</v>
      </c>
      <c r="H25" s="38">
        <f t="shared" ref="H25:H30" si="4">E25/1940000</f>
        <v>0.21103711340206199</v>
      </c>
      <c r="I25" s="189" t="s">
        <v>363</v>
      </c>
      <c r="J25" s="190"/>
      <c r="K25" s="190"/>
      <c r="L25" s="39">
        <v>1100000</v>
      </c>
      <c r="M25" s="39">
        <v>1300000</v>
      </c>
      <c r="N25" s="39">
        <v>1300000</v>
      </c>
      <c r="O25" s="150" t="s">
        <v>626</v>
      </c>
      <c r="P25" s="150"/>
      <c r="Q25" s="150"/>
    </row>
    <row r="26" spans="1:17" ht="14.25">
      <c r="A26" s="213"/>
      <c r="B26" s="131" t="s">
        <v>48</v>
      </c>
      <c r="C26" s="41" t="s">
        <v>49</v>
      </c>
      <c r="D26" s="35">
        <v>750000</v>
      </c>
      <c r="E26" s="36">
        <v>429524</v>
      </c>
      <c r="F26" s="29">
        <v>82341</v>
      </c>
      <c r="G26" s="37">
        <f t="shared" si="3"/>
        <v>4.2164049501463401</v>
      </c>
      <c r="H26" s="38">
        <f t="shared" si="4"/>
        <v>0.22140412371134</v>
      </c>
      <c r="I26" s="192"/>
      <c r="J26" s="193"/>
      <c r="K26" s="193"/>
      <c r="L26" s="39">
        <v>500000</v>
      </c>
      <c r="M26" s="39">
        <v>850000</v>
      </c>
      <c r="N26" s="39">
        <v>750000</v>
      </c>
      <c r="O26" s="150"/>
      <c r="P26" s="150"/>
      <c r="Q26" s="150"/>
    </row>
    <row r="27" spans="1:17" ht="14.25">
      <c r="A27" s="213"/>
      <c r="B27" s="131" t="s">
        <v>50</v>
      </c>
      <c r="C27" s="41" t="s">
        <v>51</v>
      </c>
      <c r="D27" s="35">
        <v>500000</v>
      </c>
      <c r="E27" s="36">
        <v>318395</v>
      </c>
      <c r="F27" s="29">
        <v>195324</v>
      </c>
      <c r="G27" s="37">
        <f t="shared" si="3"/>
        <v>0.63008642051156005</v>
      </c>
      <c r="H27" s="38">
        <f t="shared" si="4"/>
        <v>0.16412113402061901</v>
      </c>
      <c r="I27" s="189" t="s">
        <v>627</v>
      </c>
      <c r="J27" s="190"/>
      <c r="K27" s="190"/>
      <c r="L27" s="39">
        <v>450000</v>
      </c>
      <c r="M27" s="39">
        <v>550000</v>
      </c>
      <c r="N27" s="39">
        <v>500000</v>
      </c>
      <c r="O27" s="150"/>
      <c r="P27" s="150"/>
      <c r="Q27" s="150"/>
    </row>
    <row r="28" spans="1:17" ht="14.25">
      <c r="A28" s="213"/>
      <c r="B28" s="131" t="s">
        <v>53</v>
      </c>
      <c r="C28" s="41" t="s">
        <v>54</v>
      </c>
      <c r="D28" s="35">
        <v>550000</v>
      </c>
      <c r="E28" s="36">
        <v>112635</v>
      </c>
      <c r="F28" s="29">
        <v>196893</v>
      </c>
      <c r="G28" s="37">
        <f t="shared" si="3"/>
        <v>-0.42793801709557999</v>
      </c>
      <c r="H28" s="38">
        <f t="shared" si="4"/>
        <v>5.8059278350515497E-2</v>
      </c>
      <c r="I28" s="192"/>
      <c r="J28" s="193"/>
      <c r="K28" s="193"/>
      <c r="L28" s="39">
        <v>400000</v>
      </c>
      <c r="M28" s="39">
        <v>600000</v>
      </c>
      <c r="N28" s="39">
        <v>550000</v>
      </c>
      <c r="O28" s="150"/>
      <c r="P28" s="150"/>
      <c r="Q28" s="150"/>
    </row>
    <row r="29" spans="1:17" ht="14.25">
      <c r="A29" s="213"/>
      <c r="B29" s="129" t="s">
        <v>55</v>
      </c>
      <c r="C29" s="43" t="s">
        <v>56</v>
      </c>
      <c r="D29" s="35">
        <v>150000</v>
      </c>
      <c r="E29" s="36">
        <v>29192</v>
      </c>
      <c r="F29" s="29" t="s">
        <v>57</v>
      </c>
      <c r="G29" s="29" t="s">
        <v>57</v>
      </c>
      <c r="H29" s="38">
        <f t="shared" si="4"/>
        <v>1.50474226804124E-2</v>
      </c>
      <c r="I29" s="189" t="s">
        <v>628</v>
      </c>
      <c r="J29" s="190"/>
      <c r="K29" s="190"/>
      <c r="L29" s="39">
        <v>100000</v>
      </c>
      <c r="M29" s="39">
        <v>180000</v>
      </c>
      <c r="N29" s="39">
        <v>150000</v>
      </c>
      <c r="O29" s="150"/>
      <c r="P29" s="150"/>
      <c r="Q29" s="150"/>
    </row>
    <row r="30" spans="1:17" ht="14.25">
      <c r="A30" s="213"/>
      <c r="B30" s="130" t="s">
        <v>137</v>
      </c>
      <c r="C30" s="43" t="s">
        <v>138</v>
      </c>
      <c r="D30" s="35">
        <v>50000</v>
      </c>
      <c r="E30" s="36">
        <v>2030</v>
      </c>
      <c r="F30" s="29" t="s">
        <v>57</v>
      </c>
      <c r="G30" s="29" t="s">
        <v>57</v>
      </c>
      <c r="H30" s="38">
        <f t="shared" si="4"/>
        <v>1.0463917525773199E-3</v>
      </c>
      <c r="I30" s="195"/>
      <c r="J30" s="176"/>
      <c r="K30" s="176"/>
      <c r="L30" s="39">
        <v>30000</v>
      </c>
      <c r="M30" s="39">
        <v>60000</v>
      </c>
      <c r="N30" s="39">
        <v>50000</v>
      </c>
      <c r="O30" s="150"/>
      <c r="P30" s="150"/>
      <c r="Q30" s="150"/>
    </row>
    <row r="31" spans="1:17" ht="14.25">
      <c r="A31" s="165" t="s">
        <v>59</v>
      </c>
      <c r="B31" s="129" t="s">
        <v>60</v>
      </c>
      <c r="C31" s="43" t="s">
        <v>61</v>
      </c>
      <c r="D31" s="35">
        <v>90000</v>
      </c>
      <c r="E31" s="36">
        <v>15593</v>
      </c>
      <c r="F31" s="26">
        <v>24046</v>
      </c>
      <c r="G31" s="37">
        <f t="shared" ref="G31:G38" si="5">(E31-F31)/F31</f>
        <v>-0.351534558762372</v>
      </c>
      <c r="H31" s="38">
        <f t="shared" ref="H31:H45" si="6">E31/1940000</f>
        <v>8.03762886597938E-3</v>
      </c>
      <c r="I31" s="189" t="s">
        <v>629</v>
      </c>
      <c r="J31" s="190"/>
      <c r="K31" s="190"/>
      <c r="L31" s="39">
        <v>70000</v>
      </c>
      <c r="M31" s="39">
        <v>100000</v>
      </c>
      <c r="N31" s="39">
        <v>90000</v>
      </c>
      <c r="O31" s="150" t="s">
        <v>298</v>
      </c>
      <c r="P31" s="150"/>
      <c r="Q31" s="150"/>
    </row>
    <row r="32" spans="1:17" ht="14.25">
      <c r="A32" s="165"/>
      <c r="B32" s="131" t="s">
        <v>63</v>
      </c>
      <c r="C32" s="41" t="s">
        <v>64</v>
      </c>
      <c r="D32" s="35">
        <v>30000</v>
      </c>
      <c r="E32" s="36">
        <v>6678</v>
      </c>
      <c r="F32" s="26">
        <v>10813</v>
      </c>
      <c r="G32" s="37">
        <f t="shared" si="5"/>
        <v>-0.38241006196245297</v>
      </c>
      <c r="H32" s="38">
        <f t="shared" si="6"/>
        <v>3.4422680412371101E-3</v>
      </c>
      <c r="I32" s="195"/>
      <c r="J32" s="176"/>
      <c r="K32" s="176"/>
      <c r="L32" s="39">
        <v>15000</v>
      </c>
      <c r="M32" s="39">
        <v>35000</v>
      </c>
      <c r="N32" s="39">
        <v>30000</v>
      </c>
      <c r="O32" s="150"/>
      <c r="P32" s="150"/>
      <c r="Q32" s="150"/>
    </row>
    <row r="33" spans="1:19" ht="14.25">
      <c r="A33" s="165"/>
      <c r="B33" s="131" t="s">
        <v>65</v>
      </c>
      <c r="C33" s="41" t="s">
        <v>66</v>
      </c>
      <c r="D33" s="35">
        <v>50000</v>
      </c>
      <c r="E33" s="36">
        <v>16007</v>
      </c>
      <c r="F33" s="26">
        <v>15029</v>
      </c>
      <c r="G33" s="37">
        <f t="shared" si="5"/>
        <v>6.5074189899527596E-2</v>
      </c>
      <c r="H33" s="38">
        <f t="shared" si="6"/>
        <v>8.2510309278350496E-3</v>
      </c>
      <c r="I33" s="195"/>
      <c r="J33" s="176"/>
      <c r="K33" s="176"/>
      <c r="L33" s="39">
        <v>90000</v>
      </c>
      <c r="M33" s="39">
        <v>60000</v>
      </c>
      <c r="N33" s="39">
        <v>50000</v>
      </c>
      <c r="O33" s="150"/>
      <c r="P33" s="150"/>
      <c r="Q33" s="150"/>
    </row>
    <row r="34" spans="1:19" ht="14.25">
      <c r="A34" s="165"/>
      <c r="B34" s="131" t="s">
        <v>67</v>
      </c>
      <c r="C34" s="41" t="s">
        <v>68</v>
      </c>
      <c r="D34" s="35">
        <v>20000</v>
      </c>
      <c r="E34" s="36">
        <v>8049</v>
      </c>
      <c r="F34" s="26">
        <v>5347</v>
      </c>
      <c r="G34" s="37">
        <f t="shared" si="5"/>
        <v>0.50533009164017195</v>
      </c>
      <c r="H34" s="38">
        <f t="shared" si="6"/>
        <v>4.14896907216495E-3</v>
      </c>
      <c r="I34" s="195"/>
      <c r="J34" s="176"/>
      <c r="K34" s="176"/>
      <c r="L34" s="39">
        <v>15000</v>
      </c>
      <c r="M34" s="39">
        <v>25000</v>
      </c>
      <c r="N34" s="39">
        <v>20000</v>
      </c>
      <c r="O34" s="150"/>
      <c r="P34" s="150"/>
      <c r="Q34" s="150"/>
    </row>
    <row r="35" spans="1:19" ht="14.25">
      <c r="A35" s="165"/>
      <c r="B35" s="129" t="s">
        <v>69</v>
      </c>
      <c r="C35" s="43" t="s">
        <v>70</v>
      </c>
      <c r="D35" s="35">
        <v>90000</v>
      </c>
      <c r="E35" s="36">
        <v>20236</v>
      </c>
      <c r="F35" s="26">
        <v>31380</v>
      </c>
      <c r="G35" s="37">
        <f t="shared" si="5"/>
        <v>-0.35513065646908898</v>
      </c>
      <c r="H35" s="38">
        <f t="shared" si="6"/>
        <v>1.04309278350515E-2</v>
      </c>
      <c r="I35" s="195"/>
      <c r="J35" s="176"/>
      <c r="K35" s="176"/>
      <c r="L35" s="39">
        <v>75000</v>
      </c>
      <c r="M35" s="39">
        <v>100000</v>
      </c>
      <c r="N35" s="39">
        <v>90000</v>
      </c>
      <c r="O35" s="150"/>
      <c r="P35" s="150"/>
      <c r="Q35" s="150"/>
    </row>
    <row r="36" spans="1:19" ht="14.25">
      <c r="A36" s="165"/>
      <c r="B36" s="131" t="s">
        <v>72</v>
      </c>
      <c r="C36" s="41" t="s">
        <v>73</v>
      </c>
      <c r="D36" s="35">
        <v>40000</v>
      </c>
      <c r="E36" s="36">
        <v>7265</v>
      </c>
      <c r="F36" s="26">
        <v>7048</v>
      </c>
      <c r="G36" s="37">
        <f t="shared" si="5"/>
        <v>3.0788876276958001E-2</v>
      </c>
      <c r="H36" s="38">
        <f t="shared" si="6"/>
        <v>3.74484536082474E-3</v>
      </c>
      <c r="I36" s="192"/>
      <c r="J36" s="193"/>
      <c r="K36" s="193"/>
      <c r="L36" s="39">
        <v>30000</v>
      </c>
      <c r="M36" s="39">
        <v>50000</v>
      </c>
      <c r="N36" s="39">
        <v>40000</v>
      </c>
      <c r="O36" s="150"/>
      <c r="P36" s="150"/>
      <c r="Q36" s="150"/>
    </row>
    <row r="37" spans="1:19" ht="14.25">
      <c r="A37" s="167" t="s">
        <v>74</v>
      </c>
      <c r="B37" s="46">
        <v>100127194542</v>
      </c>
      <c r="C37" s="41" t="s">
        <v>75</v>
      </c>
      <c r="D37" s="35">
        <v>40000</v>
      </c>
      <c r="E37" s="36">
        <v>6481</v>
      </c>
      <c r="F37" s="26">
        <v>7364</v>
      </c>
      <c r="G37" s="37">
        <f t="shared" si="5"/>
        <v>-0.119907658881043</v>
      </c>
      <c r="H37" s="38">
        <f t="shared" si="6"/>
        <v>3.34072164948454E-3</v>
      </c>
      <c r="I37" s="150" t="s">
        <v>630</v>
      </c>
      <c r="J37" s="161"/>
      <c r="K37" s="161"/>
      <c r="L37" s="39">
        <v>35000</v>
      </c>
      <c r="M37" s="39">
        <v>50000</v>
      </c>
      <c r="N37" s="39">
        <v>40000</v>
      </c>
      <c r="O37" s="150" t="s">
        <v>300</v>
      </c>
      <c r="P37" s="150"/>
      <c r="Q37" s="150"/>
    </row>
    <row r="38" spans="1:19" ht="14.25">
      <c r="A38" s="169"/>
      <c r="B38" s="48">
        <v>100150693764</v>
      </c>
      <c r="C38" s="49" t="s">
        <v>77</v>
      </c>
      <c r="D38" s="35">
        <v>60000</v>
      </c>
      <c r="E38" s="36">
        <v>17995</v>
      </c>
      <c r="F38" s="26">
        <v>8151</v>
      </c>
      <c r="G38" s="37">
        <f t="shared" si="5"/>
        <v>1.20770457612563</v>
      </c>
      <c r="H38" s="38">
        <f t="shared" si="6"/>
        <v>9.2757731958762902E-3</v>
      </c>
      <c r="I38" s="161"/>
      <c r="J38" s="161"/>
      <c r="K38" s="161"/>
      <c r="L38" s="39">
        <v>40000</v>
      </c>
      <c r="M38" s="39">
        <v>70000</v>
      </c>
      <c r="N38" s="39">
        <v>60000</v>
      </c>
      <c r="O38" s="150"/>
      <c r="P38" s="150"/>
      <c r="Q38" s="150"/>
    </row>
    <row r="39" spans="1:19" ht="26.25" customHeight="1">
      <c r="A39" s="166"/>
      <c r="B39" s="46">
        <v>100325407774</v>
      </c>
      <c r="C39" s="41" t="s">
        <v>301</v>
      </c>
      <c r="D39" s="35">
        <v>30000</v>
      </c>
      <c r="E39" s="36">
        <v>15630</v>
      </c>
      <c r="F39" s="29" t="s">
        <v>57</v>
      </c>
      <c r="G39" s="37" t="s">
        <v>57</v>
      </c>
      <c r="H39" s="38">
        <f t="shared" si="6"/>
        <v>8.0567010309278292E-3</v>
      </c>
      <c r="I39" s="231" t="s">
        <v>631</v>
      </c>
      <c r="J39" s="235"/>
      <c r="K39" s="235"/>
      <c r="L39" s="39">
        <v>15000</v>
      </c>
      <c r="M39" s="39">
        <v>40000</v>
      </c>
      <c r="N39" s="39">
        <v>30000</v>
      </c>
      <c r="O39" s="242" t="s">
        <v>240</v>
      </c>
      <c r="P39" s="242"/>
      <c r="Q39" s="242"/>
    </row>
    <row r="40" spans="1:19" ht="14.25">
      <c r="A40" s="164" t="s">
        <v>78</v>
      </c>
      <c r="B40" s="129" t="s">
        <v>79</v>
      </c>
      <c r="C40" s="43" t="s">
        <v>80</v>
      </c>
      <c r="D40" s="35">
        <v>55000</v>
      </c>
      <c r="E40" s="36">
        <v>5630</v>
      </c>
      <c r="F40" s="36">
        <v>16193</v>
      </c>
      <c r="G40" s="37">
        <f>(E40-F40)/F40</f>
        <v>-0.65231890322979103</v>
      </c>
      <c r="H40" s="38">
        <f t="shared" si="6"/>
        <v>2.9020618556700999E-3</v>
      </c>
      <c r="I40" s="189" t="s">
        <v>146</v>
      </c>
      <c r="J40" s="190"/>
      <c r="K40" s="190"/>
      <c r="L40" s="39">
        <v>30000</v>
      </c>
      <c r="M40" s="39">
        <v>60000</v>
      </c>
      <c r="N40" s="39">
        <v>55000</v>
      </c>
      <c r="O40" s="150" t="s">
        <v>303</v>
      </c>
      <c r="P40" s="150"/>
      <c r="Q40" s="150"/>
    </row>
    <row r="41" spans="1:19" ht="14.25">
      <c r="A41" s="164"/>
      <c r="B41" s="129" t="s">
        <v>82</v>
      </c>
      <c r="C41" s="49" t="s">
        <v>83</v>
      </c>
      <c r="D41" s="35">
        <v>35000</v>
      </c>
      <c r="E41" s="36">
        <v>6656</v>
      </c>
      <c r="F41" s="29">
        <v>5468</v>
      </c>
      <c r="G41" s="37">
        <f>(E41-F41)/F41</f>
        <v>0.217264081931236</v>
      </c>
      <c r="H41" s="38">
        <f t="shared" si="6"/>
        <v>3.4309278350515499E-3</v>
      </c>
      <c r="I41" s="192"/>
      <c r="J41" s="193"/>
      <c r="K41" s="193"/>
      <c r="L41" s="39">
        <v>20000</v>
      </c>
      <c r="M41" s="39">
        <v>40000</v>
      </c>
      <c r="N41" s="39">
        <v>35000</v>
      </c>
      <c r="O41" s="150"/>
      <c r="P41" s="150"/>
      <c r="Q41" s="150"/>
    </row>
    <row r="42" spans="1:19" ht="14.25">
      <c r="A42" s="164"/>
      <c r="B42" s="48">
        <v>100230489825</v>
      </c>
      <c r="C42" s="43" t="s">
        <v>84</v>
      </c>
      <c r="D42" s="35">
        <v>200000</v>
      </c>
      <c r="E42" s="36">
        <v>18143</v>
      </c>
      <c r="F42" s="29" t="s">
        <v>57</v>
      </c>
      <c r="G42" s="37" t="s">
        <v>57</v>
      </c>
      <c r="H42" s="38">
        <f t="shared" si="6"/>
        <v>9.3520618556701008E-3</v>
      </c>
      <c r="I42" s="189" t="s">
        <v>632</v>
      </c>
      <c r="J42" s="190"/>
      <c r="K42" s="190"/>
      <c r="L42" s="39">
        <v>150000</v>
      </c>
      <c r="M42" s="39">
        <v>250000</v>
      </c>
      <c r="N42" s="39">
        <v>200000</v>
      </c>
      <c r="O42" s="150"/>
      <c r="P42" s="150"/>
      <c r="Q42" s="150"/>
    </row>
    <row r="43" spans="1:19" ht="14.25">
      <c r="A43" s="164"/>
      <c r="B43" s="48">
        <v>100307579062</v>
      </c>
      <c r="C43" s="49" t="s">
        <v>85</v>
      </c>
      <c r="D43" s="35">
        <v>50000</v>
      </c>
      <c r="E43" s="36">
        <v>7606</v>
      </c>
      <c r="F43" s="29" t="s">
        <v>57</v>
      </c>
      <c r="G43" s="37" t="s">
        <v>57</v>
      </c>
      <c r="H43" s="38">
        <f t="shared" si="6"/>
        <v>3.9206185567010297E-3</v>
      </c>
      <c r="I43" s="192"/>
      <c r="J43" s="193"/>
      <c r="K43" s="193"/>
      <c r="L43" s="39">
        <v>40000</v>
      </c>
      <c r="M43" s="39">
        <v>70000</v>
      </c>
      <c r="N43" s="39">
        <v>50000</v>
      </c>
      <c r="O43" s="150"/>
      <c r="P43" s="150"/>
      <c r="Q43" s="150"/>
    </row>
    <row r="44" spans="1:19" ht="14.25">
      <c r="A44" s="167" t="s">
        <v>633</v>
      </c>
      <c r="B44" s="129" t="s">
        <v>232</v>
      </c>
      <c r="C44" s="43" t="s">
        <v>233</v>
      </c>
      <c r="D44" s="35">
        <v>120000</v>
      </c>
      <c r="E44" s="36">
        <v>4870</v>
      </c>
      <c r="F44" s="29" t="s">
        <v>57</v>
      </c>
      <c r="G44" s="29" t="s">
        <v>57</v>
      </c>
      <c r="H44" s="38">
        <f t="shared" si="6"/>
        <v>2.5103092783505202E-3</v>
      </c>
      <c r="I44" s="189" t="s">
        <v>634</v>
      </c>
      <c r="J44" s="289"/>
      <c r="K44" s="290"/>
      <c r="L44" s="39">
        <v>100000</v>
      </c>
      <c r="M44" s="39">
        <v>150000</v>
      </c>
      <c r="N44" s="39">
        <v>120000</v>
      </c>
      <c r="O44" s="189" t="s">
        <v>635</v>
      </c>
      <c r="P44" s="289"/>
      <c r="Q44" s="290"/>
    </row>
    <row r="45" spans="1:19" ht="14.25">
      <c r="A45" s="168"/>
      <c r="B45" s="48">
        <v>100266630279</v>
      </c>
      <c r="C45" s="43" t="s">
        <v>636</v>
      </c>
      <c r="D45" s="35">
        <v>60000</v>
      </c>
      <c r="E45" s="36">
        <v>15075</v>
      </c>
      <c r="F45" s="29" t="s">
        <v>57</v>
      </c>
      <c r="G45" s="29" t="s">
        <v>57</v>
      </c>
      <c r="H45" s="38">
        <f t="shared" si="6"/>
        <v>7.7706185567010299E-3</v>
      </c>
      <c r="I45" s="291"/>
      <c r="J45" s="292"/>
      <c r="K45" s="293"/>
      <c r="L45" s="25" t="s">
        <v>57</v>
      </c>
      <c r="M45" s="25" t="s">
        <v>57</v>
      </c>
      <c r="N45" s="36">
        <v>60000</v>
      </c>
      <c r="O45" s="291"/>
      <c r="P45" s="292"/>
      <c r="Q45" s="293"/>
    </row>
    <row r="46" spans="1:19" ht="14.25">
      <c r="A46" s="52"/>
      <c r="B46" s="53"/>
      <c r="C46" s="53"/>
      <c r="D46" s="52"/>
      <c r="E46" s="53"/>
      <c r="F46" s="53"/>
      <c r="G46" s="53"/>
      <c r="H46" s="53"/>
      <c r="I46" s="53"/>
      <c r="J46" s="53"/>
      <c r="K46" s="53"/>
      <c r="L46" s="53"/>
      <c r="M46" s="53"/>
      <c r="N46" s="53"/>
      <c r="O46" s="53"/>
    </row>
    <row r="47" spans="1:19" ht="14.25">
      <c r="A47" s="237" t="s">
        <v>637</v>
      </c>
      <c r="B47" s="237"/>
      <c r="C47" s="237"/>
      <c r="D47" s="237"/>
      <c r="E47" s="237"/>
      <c r="F47" s="237"/>
      <c r="G47" s="237"/>
      <c r="H47" s="237"/>
      <c r="I47" s="237"/>
      <c r="J47" s="237"/>
      <c r="K47" s="237"/>
      <c r="L47" s="237"/>
      <c r="M47" s="237"/>
      <c r="N47" s="237"/>
      <c r="O47" s="237"/>
      <c r="P47" s="237"/>
      <c r="Q47" s="237"/>
      <c r="R47" s="237"/>
      <c r="S47" s="237"/>
    </row>
    <row r="48" spans="1:19" ht="14.25">
      <c r="A48" s="238" t="s">
        <v>87</v>
      </c>
      <c r="B48" s="238"/>
      <c r="C48" s="54" t="s">
        <v>291</v>
      </c>
      <c r="D48" s="54" t="s">
        <v>638</v>
      </c>
      <c r="E48" s="54" t="s">
        <v>129</v>
      </c>
      <c r="F48" s="54" t="s">
        <v>19</v>
      </c>
      <c r="G48" s="54" t="s">
        <v>20</v>
      </c>
      <c r="H48" s="238" t="s">
        <v>21</v>
      </c>
      <c r="I48" s="238"/>
      <c r="J48" s="238"/>
      <c r="K48" s="238"/>
      <c r="L48" s="55" t="s">
        <v>289</v>
      </c>
      <c r="M48" s="55" t="s">
        <v>290</v>
      </c>
      <c r="N48" s="55" t="s">
        <v>291</v>
      </c>
      <c r="O48" s="210" t="s">
        <v>373</v>
      </c>
      <c r="P48" s="210"/>
      <c r="Q48" s="210"/>
      <c r="R48" s="210" t="s">
        <v>374</v>
      </c>
      <c r="S48" s="210"/>
    </row>
    <row r="49" spans="1:19" ht="21.75" customHeight="1">
      <c r="A49" s="164" t="s">
        <v>88</v>
      </c>
      <c r="B49" s="40" t="s">
        <v>89</v>
      </c>
      <c r="C49" s="56" t="s">
        <v>311</v>
      </c>
      <c r="D49" s="57">
        <v>1098409.8600000001</v>
      </c>
      <c r="E49" s="26">
        <v>752461.06</v>
      </c>
      <c r="F49" s="28">
        <f t="shared" ref="F49:F52" si="7">(D49-E49)/E49</f>
        <v>0.459756415833665</v>
      </c>
      <c r="G49" s="28">
        <f>D49/1940000</f>
        <v>0.56619064948453601</v>
      </c>
      <c r="H49" s="150" t="s">
        <v>639</v>
      </c>
      <c r="I49" s="150"/>
      <c r="J49" s="150"/>
      <c r="K49" s="150"/>
      <c r="L49" s="29" t="s">
        <v>309</v>
      </c>
      <c r="M49" s="56" t="s">
        <v>310</v>
      </c>
      <c r="N49" s="56" t="s">
        <v>311</v>
      </c>
      <c r="O49" s="231" t="s">
        <v>376</v>
      </c>
      <c r="P49" s="232"/>
      <c r="Q49" s="233"/>
      <c r="R49" s="150" t="s">
        <v>377</v>
      </c>
      <c r="S49" s="161"/>
    </row>
    <row r="50" spans="1:19" ht="21.75" customHeight="1">
      <c r="A50" s="165"/>
      <c r="B50" s="40" t="s">
        <v>91</v>
      </c>
      <c r="C50" s="56" t="s">
        <v>247</v>
      </c>
      <c r="D50" s="57">
        <v>688097.82</v>
      </c>
      <c r="E50" s="26">
        <v>421556.71</v>
      </c>
      <c r="F50" s="28">
        <f t="shared" si="7"/>
        <v>0.63227818150492698</v>
      </c>
      <c r="G50" s="28">
        <f>D50/1940000</f>
        <v>0.35468959793814397</v>
      </c>
      <c r="H50" s="150"/>
      <c r="I50" s="150"/>
      <c r="J50" s="150"/>
      <c r="K50" s="150"/>
      <c r="L50" s="29" t="s">
        <v>314</v>
      </c>
      <c r="M50" s="56" t="s">
        <v>252</v>
      </c>
      <c r="N50" s="56" t="s">
        <v>247</v>
      </c>
      <c r="O50" s="231" t="s">
        <v>378</v>
      </c>
      <c r="P50" s="232"/>
      <c r="Q50" s="233"/>
      <c r="R50" s="150" t="s">
        <v>379</v>
      </c>
      <c r="S50" s="161"/>
    </row>
    <row r="51" spans="1:19" ht="40.5" customHeight="1">
      <c r="A51" s="164" t="s">
        <v>92</v>
      </c>
      <c r="B51" s="58" t="s">
        <v>93</v>
      </c>
      <c r="C51" s="56" t="s">
        <v>320</v>
      </c>
      <c r="D51" s="57">
        <v>260276.18</v>
      </c>
      <c r="E51" s="26">
        <v>104061.16</v>
      </c>
      <c r="F51" s="28">
        <f t="shared" si="7"/>
        <v>1.50118468792775</v>
      </c>
      <c r="G51" s="28">
        <f>D51/1940000</f>
        <v>0.134162979381443</v>
      </c>
      <c r="H51" s="150" t="s">
        <v>640</v>
      </c>
      <c r="I51" s="161"/>
      <c r="J51" s="161"/>
      <c r="K51" s="161"/>
      <c r="L51" s="29" t="s">
        <v>318</v>
      </c>
      <c r="M51" s="56" t="s">
        <v>319</v>
      </c>
      <c r="N51" s="56" t="s">
        <v>320</v>
      </c>
      <c r="O51" s="231" t="s">
        <v>381</v>
      </c>
      <c r="P51" s="232"/>
      <c r="Q51" s="233"/>
      <c r="R51" s="150" t="s">
        <v>322</v>
      </c>
      <c r="S51" s="161"/>
    </row>
    <row r="52" spans="1:19" ht="31.5" customHeight="1">
      <c r="A52" s="165"/>
      <c r="B52" s="40" t="s">
        <v>95</v>
      </c>
      <c r="C52" s="56" t="s">
        <v>325</v>
      </c>
      <c r="D52" s="57">
        <v>1070248</v>
      </c>
      <c r="E52" s="26">
        <v>503323</v>
      </c>
      <c r="F52" s="28">
        <f t="shared" si="7"/>
        <v>1.12636418363556</v>
      </c>
      <c r="G52" s="28">
        <f>D52/1940000</f>
        <v>0.55167422680412403</v>
      </c>
      <c r="H52" s="150" t="s">
        <v>641</v>
      </c>
      <c r="I52" s="161"/>
      <c r="J52" s="161"/>
      <c r="K52" s="161"/>
      <c r="L52" s="29" t="s">
        <v>247</v>
      </c>
      <c r="M52" s="56" t="s">
        <v>324</v>
      </c>
      <c r="N52" s="56" t="s">
        <v>325</v>
      </c>
      <c r="O52" s="231" t="s">
        <v>326</v>
      </c>
      <c r="P52" s="232"/>
      <c r="Q52" s="233"/>
      <c r="R52" s="150" t="s">
        <v>327</v>
      </c>
      <c r="S52" s="161"/>
    </row>
    <row r="53" spans="1:19" ht="14.25">
      <c r="A53" s="53"/>
      <c r="B53" s="53"/>
      <c r="C53" s="53"/>
      <c r="D53" s="53"/>
      <c r="E53" s="53"/>
      <c r="F53" s="53"/>
      <c r="G53" s="53"/>
      <c r="H53" s="53"/>
      <c r="I53" s="53"/>
      <c r="J53" s="53"/>
      <c r="K53" s="53"/>
      <c r="L53" s="53"/>
      <c r="M53" s="53"/>
      <c r="N53" s="53"/>
      <c r="O53" s="53"/>
    </row>
    <row r="54" spans="1:19" ht="14.25">
      <c r="A54" s="59"/>
      <c r="B54" s="53"/>
      <c r="C54" s="53"/>
      <c r="D54" s="53"/>
      <c r="E54" s="53"/>
      <c r="F54" s="53"/>
      <c r="G54" s="53"/>
      <c r="H54" s="53"/>
      <c r="I54" s="53"/>
      <c r="J54" s="53"/>
      <c r="K54" s="53"/>
      <c r="L54" s="53"/>
      <c r="M54" s="53"/>
      <c r="N54" s="53"/>
      <c r="O54" s="53"/>
    </row>
    <row r="55" spans="1:19" ht="14.25">
      <c r="A55" s="55" t="s">
        <v>642</v>
      </c>
      <c r="B55" s="55" t="s">
        <v>98</v>
      </c>
      <c r="C55" s="55" t="s">
        <v>99</v>
      </c>
      <c r="D55" s="55" t="s">
        <v>100</v>
      </c>
      <c r="E55" s="265" t="s">
        <v>101</v>
      </c>
      <c r="F55" s="266"/>
      <c r="G55" s="210" t="s">
        <v>102</v>
      </c>
      <c r="H55" s="210"/>
      <c r="I55" s="210" t="s">
        <v>21</v>
      </c>
      <c r="J55" s="265"/>
      <c r="K55" s="210" t="s">
        <v>384</v>
      </c>
      <c r="L55" s="210"/>
      <c r="M55" s="210"/>
      <c r="N55" s="210"/>
      <c r="O55" s="210"/>
    </row>
    <row r="56" spans="1:19" ht="22.5" customHeight="1">
      <c r="A56" s="25" t="s">
        <v>89</v>
      </c>
      <c r="B56" s="26">
        <v>3028</v>
      </c>
      <c r="C56" s="26">
        <v>235478</v>
      </c>
      <c r="D56" s="60">
        <v>77.77</v>
      </c>
      <c r="E56" s="269" t="s">
        <v>643</v>
      </c>
      <c r="F56" s="270"/>
      <c r="G56" s="150" t="s">
        <v>644</v>
      </c>
      <c r="H56" s="150"/>
      <c r="I56" s="189" t="s">
        <v>645</v>
      </c>
      <c r="J56" s="190"/>
      <c r="K56" s="150" t="s">
        <v>388</v>
      </c>
      <c r="L56" s="150"/>
      <c r="M56" s="150"/>
      <c r="N56" s="150"/>
      <c r="O56" s="150"/>
    </row>
    <row r="57" spans="1:19" ht="21.75" customHeight="1">
      <c r="A57" s="25" t="s">
        <v>19</v>
      </c>
      <c r="B57" s="28">
        <v>0.61240000000000006</v>
      </c>
      <c r="C57" s="28">
        <v>6.2E-2</v>
      </c>
      <c r="D57" s="28">
        <v>-0.34139999999999998</v>
      </c>
      <c r="E57" s="270"/>
      <c r="F57" s="270"/>
      <c r="G57" s="150"/>
      <c r="H57" s="150"/>
      <c r="I57" s="195"/>
      <c r="J57" s="176"/>
      <c r="K57" s="150"/>
      <c r="L57" s="150"/>
      <c r="M57" s="150"/>
      <c r="N57" s="150"/>
      <c r="O57" s="150"/>
    </row>
    <row r="58" spans="1:19" ht="21.75" customHeight="1">
      <c r="A58" s="25" t="s">
        <v>91</v>
      </c>
      <c r="B58" s="26">
        <v>2771</v>
      </c>
      <c r="C58" s="26">
        <v>306182</v>
      </c>
      <c r="D58" s="60">
        <v>110.5</v>
      </c>
      <c r="E58" s="271" t="s">
        <v>646</v>
      </c>
      <c r="F58" s="272"/>
      <c r="G58" s="150" t="s">
        <v>647</v>
      </c>
      <c r="H58" s="150"/>
      <c r="I58" s="195"/>
      <c r="J58" s="176"/>
      <c r="K58" s="150"/>
      <c r="L58" s="150"/>
      <c r="M58" s="150"/>
      <c r="N58" s="150"/>
      <c r="O58" s="150"/>
    </row>
    <row r="59" spans="1:19" ht="24.75" customHeight="1">
      <c r="A59" s="25" t="s">
        <v>19</v>
      </c>
      <c r="B59" s="28">
        <v>1.3052999999999999</v>
      </c>
      <c r="C59" s="28">
        <v>1.3187</v>
      </c>
      <c r="D59" s="28">
        <v>5.7999999999999996E-3</v>
      </c>
      <c r="E59" s="272"/>
      <c r="F59" s="272"/>
      <c r="G59" s="150"/>
      <c r="H59" s="150"/>
      <c r="I59" s="192"/>
      <c r="J59" s="193"/>
      <c r="K59" s="150"/>
      <c r="L59" s="150"/>
      <c r="M59" s="150"/>
      <c r="N59" s="150"/>
      <c r="O59" s="150"/>
    </row>
    <row r="60" spans="1:19" ht="18" customHeight="1">
      <c r="A60" s="25" t="s">
        <v>97</v>
      </c>
      <c r="B60" s="26">
        <f>B56+B58</f>
        <v>5799</v>
      </c>
      <c r="C60" s="26">
        <f>C56+C58</f>
        <v>541660</v>
      </c>
      <c r="D60" s="60">
        <v>93.41</v>
      </c>
      <c r="E60" s="273" t="s">
        <v>391</v>
      </c>
      <c r="F60" s="273"/>
      <c r="G60" s="273"/>
      <c r="H60" s="273"/>
      <c r="I60" s="273"/>
      <c r="J60" s="274"/>
      <c r="K60" s="150"/>
      <c r="L60" s="150"/>
      <c r="M60" s="150"/>
      <c r="N60" s="150"/>
      <c r="O60" s="150"/>
    </row>
    <row r="61" spans="1:19" ht="18" customHeight="1">
      <c r="A61" s="42" t="s">
        <v>19</v>
      </c>
      <c r="B61" s="28">
        <v>0.88280000000000003</v>
      </c>
      <c r="C61" s="28">
        <v>0.53100000000000003</v>
      </c>
      <c r="D61" s="28">
        <v>-0.18679999999999999</v>
      </c>
      <c r="E61" s="273"/>
      <c r="F61" s="273"/>
      <c r="G61" s="273"/>
      <c r="H61" s="273"/>
      <c r="I61" s="273"/>
      <c r="J61" s="274"/>
      <c r="K61" s="150"/>
      <c r="L61" s="150"/>
      <c r="M61" s="150"/>
      <c r="N61" s="150"/>
      <c r="O61" s="150"/>
    </row>
    <row r="64" spans="1:19" ht="15">
      <c r="A64" s="165" t="s">
        <v>109</v>
      </c>
      <c r="B64" s="62" t="s">
        <v>110</v>
      </c>
      <c r="C64" s="62" t="s">
        <v>111</v>
      </c>
      <c r="D64" s="62" t="s">
        <v>112</v>
      </c>
      <c r="E64" s="62" t="s">
        <v>113</v>
      </c>
      <c r="I64" s="63" t="s">
        <v>42</v>
      </c>
      <c r="J64" s="63" t="s">
        <v>392</v>
      </c>
      <c r="K64" s="63" t="s">
        <v>393</v>
      </c>
      <c r="L64" s="63" t="s">
        <v>394</v>
      </c>
      <c r="M64" s="63" t="s">
        <v>395</v>
      </c>
      <c r="N64" s="63" t="s">
        <v>396</v>
      </c>
      <c r="O64" s="63" t="s">
        <v>397</v>
      </c>
      <c r="P64" s="63" t="s">
        <v>398</v>
      </c>
    </row>
    <row r="65" spans="1:16" ht="14.25">
      <c r="A65" s="165"/>
      <c r="B65" s="25" t="s">
        <v>648</v>
      </c>
      <c r="C65" s="72">
        <v>5378</v>
      </c>
      <c r="D65" s="72">
        <v>5919</v>
      </c>
      <c r="E65" s="72">
        <v>30346</v>
      </c>
      <c r="I65" s="65" t="s">
        <v>400</v>
      </c>
      <c r="J65" s="50" t="s">
        <v>401</v>
      </c>
      <c r="K65" s="25">
        <v>7.9</v>
      </c>
      <c r="L65" s="25">
        <v>1</v>
      </c>
      <c r="M65" s="25">
        <v>9000</v>
      </c>
      <c r="N65" s="25">
        <v>9000</v>
      </c>
      <c r="O65" s="25" t="s">
        <v>402</v>
      </c>
      <c r="P65" s="239" t="s">
        <v>403</v>
      </c>
    </row>
    <row r="66" spans="1:16" ht="14.25">
      <c r="A66" s="165"/>
      <c r="B66" s="42" t="s">
        <v>117</v>
      </c>
      <c r="C66" s="42">
        <v>991</v>
      </c>
      <c r="D66" s="42">
        <v>1145</v>
      </c>
      <c r="E66" s="72">
        <v>19833.509999999998</v>
      </c>
      <c r="I66" s="65" t="s">
        <v>404</v>
      </c>
      <c r="J66" s="50" t="s">
        <v>405</v>
      </c>
      <c r="K66" s="25">
        <v>14.9</v>
      </c>
      <c r="L66" s="25">
        <v>1</v>
      </c>
      <c r="M66" s="25">
        <v>500</v>
      </c>
      <c r="N66" s="25">
        <v>500</v>
      </c>
      <c r="O66" s="25" t="s">
        <v>402</v>
      </c>
      <c r="P66" s="240"/>
    </row>
    <row r="67" spans="1:16" ht="14.25">
      <c r="A67" s="165"/>
      <c r="B67" s="42" t="s">
        <v>118</v>
      </c>
      <c r="C67" s="42">
        <v>1258</v>
      </c>
      <c r="D67" s="42">
        <v>1466</v>
      </c>
      <c r="E67" s="73">
        <v>29489.1</v>
      </c>
      <c r="I67" s="65" t="s">
        <v>406</v>
      </c>
      <c r="J67" s="50" t="s">
        <v>407</v>
      </c>
      <c r="K67" s="25">
        <v>14.9</v>
      </c>
      <c r="L67" s="25">
        <v>1</v>
      </c>
      <c r="M67" s="25">
        <v>500</v>
      </c>
      <c r="N67" s="25">
        <v>500</v>
      </c>
      <c r="O67" s="25" t="s">
        <v>402</v>
      </c>
      <c r="P67" s="240"/>
    </row>
    <row r="68" spans="1:16" ht="14.25">
      <c r="A68" s="189" t="s">
        <v>649</v>
      </c>
      <c r="B68" s="190"/>
      <c r="C68" s="190"/>
      <c r="D68" s="190"/>
      <c r="E68" s="191"/>
      <c r="I68" s="65" t="s">
        <v>409</v>
      </c>
      <c r="J68" s="50" t="s">
        <v>410</v>
      </c>
      <c r="K68" s="25">
        <v>9.9</v>
      </c>
      <c r="L68" s="25">
        <v>2.9</v>
      </c>
      <c r="M68" s="25">
        <v>2000</v>
      </c>
      <c r="N68" s="25">
        <v>5800</v>
      </c>
      <c r="O68" s="25" t="s">
        <v>402</v>
      </c>
      <c r="P68" s="240"/>
    </row>
    <row r="69" spans="1:16" ht="14.25">
      <c r="A69" s="195"/>
      <c r="B69" s="176"/>
      <c r="C69" s="176"/>
      <c r="D69" s="176"/>
      <c r="E69" s="201"/>
      <c r="I69" s="65" t="s">
        <v>273</v>
      </c>
      <c r="J69" s="50" t="s">
        <v>411</v>
      </c>
      <c r="K69" s="25">
        <v>9.9</v>
      </c>
      <c r="L69" s="25">
        <v>2.9</v>
      </c>
      <c r="M69" s="25">
        <v>2500</v>
      </c>
      <c r="N69" s="25">
        <v>7250</v>
      </c>
      <c r="O69" s="25" t="s">
        <v>402</v>
      </c>
      <c r="P69" s="240"/>
    </row>
    <row r="70" spans="1:16" ht="14.25">
      <c r="A70" s="192"/>
      <c r="B70" s="193"/>
      <c r="C70" s="193"/>
      <c r="D70" s="193"/>
      <c r="E70" s="194"/>
      <c r="I70" s="65" t="s">
        <v>412</v>
      </c>
      <c r="J70" s="50" t="s">
        <v>413</v>
      </c>
      <c r="K70" s="25">
        <v>25.9</v>
      </c>
      <c r="L70" s="25">
        <v>9.9</v>
      </c>
      <c r="M70" s="25">
        <v>4000</v>
      </c>
      <c r="N70" s="25">
        <v>39600</v>
      </c>
      <c r="O70" s="25" t="s">
        <v>402</v>
      </c>
      <c r="P70" s="240"/>
    </row>
    <row r="71" spans="1:16" ht="14.25">
      <c r="I71" s="65" t="s">
        <v>414</v>
      </c>
      <c r="J71" s="50" t="s">
        <v>415</v>
      </c>
      <c r="K71" s="25">
        <v>6.9</v>
      </c>
      <c r="L71" s="25">
        <v>4.9000000000000004</v>
      </c>
      <c r="M71" s="25">
        <v>1500</v>
      </c>
      <c r="N71" s="25">
        <v>7350</v>
      </c>
      <c r="O71" s="25" t="s">
        <v>402</v>
      </c>
      <c r="P71" s="240"/>
    </row>
    <row r="72" spans="1:16" ht="14.25">
      <c r="I72" s="130" t="s">
        <v>269</v>
      </c>
      <c r="J72" s="50" t="s">
        <v>347</v>
      </c>
      <c r="K72" s="42">
        <v>29</v>
      </c>
      <c r="L72" s="42">
        <v>17.899999999999999</v>
      </c>
      <c r="M72" s="42">
        <v>5000</v>
      </c>
      <c r="N72" s="42">
        <f t="shared" ref="N72:N77" si="8">M72*L72</f>
        <v>89500</v>
      </c>
      <c r="O72" s="25" t="s">
        <v>416</v>
      </c>
      <c r="P72" s="240"/>
    </row>
    <row r="73" spans="1:16" ht="14.25">
      <c r="I73" s="130" t="s">
        <v>271</v>
      </c>
      <c r="J73" s="50" t="s">
        <v>417</v>
      </c>
      <c r="K73" s="42">
        <v>39</v>
      </c>
      <c r="L73" s="42">
        <v>19.899999999999999</v>
      </c>
      <c r="M73" s="42">
        <v>3000</v>
      </c>
      <c r="N73" s="42">
        <f t="shared" si="8"/>
        <v>59700</v>
      </c>
      <c r="O73" s="25" t="s">
        <v>416</v>
      </c>
      <c r="P73" s="240"/>
    </row>
    <row r="74" spans="1:16" ht="14.25">
      <c r="I74" s="130" t="s">
        <v>419</v>
      </c>
      <c r="J74" s="50" t="s">
        <v>420</v>
      </c>
      <c r="K74" s="42">
        <v>49</v>
      </c>
      <c r="L74" s="42">
        <v>29.9</v>
      </c>
      <c r="M74" s="42">
        <v>1000</v>
      </c>
      <c r="N74" s="42">
        <f t="shared" si="8"/>
        <v>29900</v>
      </c>
      <c r="O74" s="25" t="s">
        <v>416</v>
      </c>
      <c r="P74" s="240"/>
    </row>
    <row r="75" spans="1:16" ht="14.25">
      <c r="I75" s="130" t="s">
        <v>275</v>
      </c>
      <c r="J75" s="50" t="s">
        <v>421</v>
      </c>
      <c r="K75" s="42">
        <v>29.9</v>
      </c>
      <c r="L75" s="25">
        <v>19.899999999999999</v>
      </c>
      <c r="M75" s="25">
        <v>800</v>
      </c>
      <c r="N75" s="42">
        <f t="shared" si="8"/>
        <v>15920</v>
      </c>
      <c r="O75" s="25" t="s">
        <v>416</v>
      </c>
      <c r="P75" s="240"/>
    </row>
    <row r="76" spans="1:16" ht="14.25">
      <c r="I76" s="130" t="s">
        <v>422</v>
      </c>
      <c r="J76" s="50" t="s">
        <v>423</v>
      </c>
      <c r="K76" s="42">
        <v>39.9</v>
      </c>
      <c r="L76" s="25">
        <v>25</v>
      </c>
      <c r="M76" s="25">
        <v>1000</v>
      </c>
      <c r="N76" s="42">
        <f t="shared" si="8"/>
        <v>25000</v>
      </c>
      <c r="O76" s="25" t="s">
        <v>416</v>
      </c>
      <c r="P76" s="240"/>
    </row>
    <row r="77" spans="1:16" ht="14.25">
      <c r="A77" s="32" t="s">
        <v>42</v>
      </c>
      <c r="B77" s="32" t="s">
        <v>43</v>
      </c>
      <c r="C77" s="32" t="s">
        <v>266</v>
      </c>
      <c r="D77" s="32" t="s">
        <v>267</v>
      </c>
      <c r="E77" s="32" t="s">
        <v>268</v>
      </c>
      <c r="I77" s="134" t="s">
        <v>425</v>
      </c>
      <c r="J77" s="66" t="s">
        <v>426</v>
      </c>
      <c r="K77" s="33">
        <v>49.9</v>
      </c>
      <c r="L77" s="45">
        <v>29.9</v>
      </c>
      <c r="M77" s="45">
        <v>1000</v>
      </c>
      <c r="N77" s="33">
        <f t="shared" si="8"/>
        <v>29900</v>
      </c>
      <c r="O77" s="25" t="s">
        <v>416</v>
      </c>
      <c r="P77" s="240"/>
    </row>
    <row r="78" spans="1:16" ht="14.25">
      <c r="A78" s="133" t="s">
        <v>271</v>
      </c>
      <c r="B78" s="25" t="s">
        <v>417</v>
      </c>
      <c r="C78" s="42">
        <v>19.899999999999999</v>
      </c>
      <c r="D78" s="42">
        <v>425</v>
      </c>
      <c r="E78" s="26">
        <f>C78*D78</f>
        <v>8457.5</v>
      </c>
      <c r="I78" s="268" t="s">
        <v>430</v>
      </c>
      <c r="J78" s="268"/>
      <c r="K78" s="268"/>
      <c r="L78" s="268"/>
      <c r="M78" s="268"/>
      <c r="N78" s="268"/>
      <c r="O78" s="268"/>
      <c r="P78" s="268"/>
    </row>
    <row r="79" spans="1:16" ht="14.25">
      <c r="A79" s="133" t="s">
        <v>412</v>
      </c>
      <c r="B79" s="25" t="s">
        <v>650</v>
      </c>
      <c r="C79" s="42">
        <v>9.9</v>
      </c>
      <c r="D79" s="42">
        <v>418</v>
      </c>
      <c r="E79" s="26">
        <f>C79*D79</f>
        <v>4138.2</v>
      </c>
    </row>
    <row r="80" spans="1:16" ht="14.25">
      <c r="A80" s="133" t="s">
        <v>275</v>
      </c>
      <c r="B80" s="25" t="s">
        <v>418</v>
      </c>
      <c r="C80" s="42">
        <v>19.899999999999999</v>
      </c>
      <c r="D80" s="42">
        <v>176</v>
      </c>
      <c r="E80" s="26">
        <f>C80*D80</f>
        <v>3502.4</v>
      </c>
    </row>
    <row r="83" spans="1:5" ht="14.25">
      <c r="A83" s="267" t="s">
        <v>110</v>
      </c>
      <c r="B83" s="267" t="s">
        <v>424</v>
      </c>
      <c r="C83" s="267"/>
      <c r="D83" s="267"/>
      <c r="E83" s="74"/>
    </row>
    <row r="84" spans="1:5" ht="14.25">
      <c r="A84" s="267"/>
      <c r="B84" s="58" t="s">
        <v>427</v>
      </c>
      <c r="C84" s="58" t="s">
        <v>428</v>
      </c>
      <c r="D84" s="58" t="s">
        <v>429</v>
      </c>
      <c r="E84" s="74"/>
    </row>
    <row r="85" spans="1:5" ht="14.25">
      <c r="A85" s="70">
        <v>46116</v>
      </c>
      <c r="B85" s="42">
        <v>4033</v>
      </c>
      <c r="C85" s="42">
        <v>1372.85</v>
      </c>
      <c r="D85" s="42">
        <v>2234</v>
      </c>
      <c r="E85" s="22" t="s">
        <v>431</v>
      </c>
    </row>
    <row r="86" spans="1:5" ht="14.25">
      <c r="A86" s="70">
        <v>46124</v>
      </c>
      <c r="B86" s="42">
        <v>40490</v>
      </c>
      <c r="C86" s="42">
        <v>5092.3999999999996</v>
      </c>
      <c r="D86" s="42">
        <v>19856</v>
      </c>
      <c r="E86" s="22" t="s">
        <v>432</v>
      </c>
    </row>
    <row r="87" spans="1:5" ht="14.25">
      <c r="A87" s="70">
        <v>46169</v>
      </c>
      <c r="B87" s="42">
        <v>8565</v>
      </c>
      <c r="C87" s="42">
        <v>2262.4</v>
      </c>
      <c r="D87" s="42">
        <v>4753</v>
      </c>
      <c r="E87" s="22" t="s">
        <v>432</v>
      </c>
    </row>
  </sheetData>
  <sheetProtection formatCells="0" formatColumns="0" formatRows="0" insertColumns="0" insertRows="0" insertHyperlinks="0" deleteColumns="0" deleteRows="0" sort="0" autoFilter="0" pivotTables="0"/>
  <mergeCells count="71">
    <mergeCell ref="E60:J61"/>
    <mergeCell ref="K56:O61"/>
    <mergeCell ref="G16:J17"/>
    <mergeCell ref="A68:E70"/>
    <mergeCell ref="O25:Q30"/>
    <mergeCell ref="I29:K30"/>
    <mergeCell ref="I31:K36"/>
    <mergeCell ref="O31:Q36"/>
    <mergeCell ref="I37:K38"/>
    <mergeCell ref="O37:Q38"/>
    <mergeCell ref="I40:K41"/>
    <mergeCell ref="O40:Q43"/>
    <mergeCell ref="I42:K43"/>
    <mergeCell ref="I44:K45"/>
    <mergeCell ref="O44:Q45"/>
    <mergeCell ref="I25:K26"/>
    <mergeCell ref="I27:K28"/>
    <mergeCell ref="H49:K50"/>
    <mergeCell ref="E56:F57"/>
    <mergeCell ref="G56:H57"/>
    <mergeCell ref="I56:J59"/>
    <mergeCell ref="E58:F59"/>
    <mergeCell ref="G58:H59"/>
    <mergeCell ref="I78:P78"/>
    <mergeCell ref="B83:D83"/>
    <mergeCell ref="A12:A13"/>
    <mergeCell ref="A14:A15"/>
    <mergeCell ref="A16:A18"/>
    <mergeCell ref="A25:A30"/>
    <mergeCell ref="A31:A36"/>
    <mergeCell ref="A37:A39"/>
    <mergeCell ref="A40:A43"/>
    <mergeCell ref="A44:A45"/>
    <mergeCell ref="A49:A50"/>
    <mergeCell ref="A51:A52"/>
    <mergeCell ref="A64:A67"/>
    <mergeCell ref="A83:A84"/>
    <mergeCell ref="P65:P77"/>
    <mergeCell ref="G12:J13"/>
    <mergeCell ref="H52:K52"/>
    <mergeCell ref="O52:Q52"/>
    <mergeCell ref="R52:S52"/>
    <mergeCell ref="E55:F55"/>
    <mergeCell ref="G55:H55"/>
    <mergeCell ref="I55:J55"/>
    <mergeCell ref="K55:O55"/>
    <mergeCell ref="O49:Q49"/>
    <mergeCell ref="R49:S49"/>
    <mergeCell ref="O50:Q50"/>
    <mergeCell ref="R50:S50"/>
    <mergeCell ref="H51:K51"/>
    <mergeCell ref="O51:Q51"/>
    <mergeCell ref="R51:S51"/>
    <mergeCell ref="I39:K39"/>
    <mergeCell ref="O39:Q39"/>
    <mergeCell ref="A47:S47"/>
    <mergeCell ref="A48:B48"/>
    <mergeCell ref="H48:K48"/>
    <mergeCell ref="O48:Q48"/>
    <mergeCell ref="R48:S48"/>
    <mergeCell ref="G15:J15"/>
    <mergeCell ref="G18:J18"/>
    <mergeCell ref="A23:Q23"/>
    <mergeCell ref="I24:K24"/>
    <mergeCell ref="O24:Q24"/>
    <mergeCell ref="A1:G1"/>
    <mergeCell ref="A10:J10"/>
    <mergeCell ref="A11:B11"/>
    <mergeCell ref="G11:J11"/>
    <mergeCell ref="G14:J14"/>
    <mergeCell ref="E6:G7"/>
  </mergeCells>
  <phoneticPr fontId="15" type="noConversion"/>
  <pageMargins left="0.75" right="0.75" top="1" bottom="1" header="0.5" footer="0.5"/>
  <ignoredErrors>
    <ignoredError sqref="B44 B40:B41" numberStoredAsText="1"/>
  </ignoredError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S89"/>
  <sheetViews>
    <sheetView workbookViewId="0">
      <selection activeCell="L46" sqref="L46:N46"/>
    </sheetView>
  </sheetViews>
  <sheetFormatPr defaultColWidth="9" defaultRowHeight="13.5"/>
  <cols>
    <col min="1" max="1" width="12.25" customWidth="1"/>
    <col min="2" max="2" width="14.375" customWidth="1"/>
    <col min="3" max="3" width="26.125" customWidth="1"/>
    <col min="4" max="4" width="10.125" customWidth="1"/>
    <col min="5" max="5" width="14.25" customWidth="1"/>
    <col min="6" max="6" width="17.625" customWidth="1"/>
    <col min="7" max="7" width="24.875" customWidth="1"/>
    <col min="8" max="8" width="12.375" customWidth="1"/>
    <col min="9" max="9" width="15.125" customWidth="1"/>
    <col min="10" max="10" width="19.375" customWidth="1"/>
    <col min="11" max="11" width="10.75" customWidth="1"/>
    <col min="12" max="13" width="12.875" customWidth="1"/>
    <col min="15" max="15" width="15.75" customWidth="1"/>
    <col min="16" max="16" width="12.875" customWidth="1"/>
    <col min="18" max="18" width="13.875" customWidth="1"/>
    <col min="19" max="19" width="12.875" customWidth="1"/>
  </cols>
  <sheetData>
    <row r="1" spans="1:10" ht="14.25">
      <c r="A1" s="136" t="s">
        <v>651</v>
      </c>
      <c r="B1" s="137"/>
      <c r="C1" s="137"/>
      <c r="D1" s="137"/>
      <c r="E1" s="137"/>
      <c r="F1" s="137"/>
      <c r="G1" s="137"/>
    </row>
    <row r="2" spans="1:10" ht="14.25">
      <c r="A2" s="4" t="s">
        <v>1</v>
      </c>
      <c r="B2" s="4" t="s">
        <v>2</v>
      </c>
      <c r="C2" s="4" t="s">
        <v>3</v>
      </c>
      <c r="D2" s="4" t="s">
        <v>4</v>
      </c>
      <c r="E2" s="4" t="s">
        <v>5</v>
      </c>
      <c r="F2" s="4" t="s">
        <v>6</v>
      </c>
      <c r="G2" s="4" t="s">
        <v>7</v>
      </c>
    </row>
    <row r="3" spans="1:10" ht="14.25">
      <c r="A3" s="5" t="s">
        <v>9</v>
      </c>
      <c r="B3" s="17">
        <v>2265</v>
      </c>
      <c r="C3" s="17">
        <v>2811</v>
      </c>
      <c r="D3" s="7">
        <f t="shared" ref="D3:D7" si="0">(C3-B3)/B3</f>
        <v>0.241059602649007</v>
      </c>
      <c r="E3" s="7">
        <f>B3/(B3+B4+B5)</f>
        <v>0.44075666145801901</v>
      </c>
      <c r="F3" s="7">
        <f>C3/(C3+C4+C5)</f>
        <v>0.34256883976284602</v>
      </c>
      <c r="G3" s="7">
        <f>F3-E3</f>
        <v>-9.8187821695172803E-2</v>
      </c>
      <c r="H3" s="22"/>
    </row>
    <row r="4" spans="1:10" ht="14.25">
      <c r="A4" s="8" t="s">
        <v>11</v>
      </c>
      <c r="B4" s="17">
        <v>2316</v>
      </c>
      <c r="C4" s="17">
        <v>4600</v>
      </c>
      <c r="D4" s="7">
        <f t="shared" si="0"/>
        <v>0.98618307426597596</v>
      </c>
      <c r="E4" s="7">
        <f>B4/(B4+B5+B3)</f>
        <v>0.45068098363654402</v>
      </c>
      <c r="F4" s="7">
        <f>C4/(C3+C4+C5)</f>
        <v>0.56058935002102195</v>
      </c>
      <c r="G4" s="7">
        <f>F4-E4</f>
        <v>0.109908366384478</v>
      </c>
    </row>
    <row r="5" spans="1:10" ht="14.25">
      <c r="A5" s="8" t="s">
        <v>12</v>
      </c>
      <c r="B5" s="17">
        <v>557.89</v>
      </c>
      <c r="C5" s="17">
        <v>794.65</v>
      </c>
      <c r="D5" s="7">
        <f t="shared" si="0"/>
        <v>0.42438473534209298</v>
      </c>
      <c r="E5" s="13">
        <f>B5/(B5+B4+B3)</f>
        <v>0.108562354905437</v>
      </c>
      <c r="F5" s="13">
        <f>C5/(C3+C4+C5)</f>
        <v>9.6841810216131599E-2</v>
      </c>
      <c r="G5" s="13">
        <f>F5-E5</f>
        <v>-1.1720544689305201E-2</v>
      </c>
    </row>
    <row r="6" spans="1:10" ht="14.25">
      <c r="A6" s="8" t="s">
        <v>13</v>
      </c>
      <c r="B6" s="18">
        <v>401.72</v>
      </c>
      <c r="C6" s="18">
        <v>649.74</v>
      </c>
      <c r="D6" s="7">
        <f t="shared" si="0"/>
        <v>0.61739520063726006</v>
      </c>
      <c r="E6" s="287" t="s">
        <v>652</v>
      </c>
      <c r="F6" s="288"/>
      <c r="G6" s="288"/>
    </row>
    <row r="7" spans="1:10" ht="47.1" customHeight="1">
      <c r="A7" s="19" t="s">
        <v>14</v>
      </c>
      <c r="B7" s="20">
        <v>362</v>
      </c>
      <c r="C7" s="21">
        <v>519</v>
      </c>
      <c r="D7" s="7">
        <f t="shared" si="0"/>
        <v>0.43370165745856398</v>
      </c>
      <c r="E7" s="288"/>
      <c r="F7" s="288"/>
      <c r="G7" s="288"/>
    </row>
    <row r="10" spans="1:10" ht="14.25">
      <c r="A10" s="141" t="s">
        <v>653</v>
      </c>
      <c r="B10" s="142"/>
      <c r="C10" s="142"/>
      <c r="D10" s="143"/>
      <c r="E10" s="142"/>
      <c r="F10" s="142"/>
      <c r="G10" s="142"/>
      <c r="H10" s="142"/>
      <c r="I10" s="142"/>
      <c r="J10" s="144"/>
    </row>
    <row r="11" spans="1:10" ht="14.25">
      <c r="A11" s="244" t="s">
        <v>1</v>
      </c>
      <c r="B11" s="244"/>
      <c r="C11" s="23" t="s">
        <v>17</v>
      </c>
      <c r="D11" s="23" t="s">
        <v>18</v>
      </c>
      <c r="E11" s="23" t="s">
        <v>19</v>
      </c>
      <c r="F11" s="23" t="s">
        <v>20</v>
      </c>
      <c r="G11" s="145" t="s">
        <v>21</v>
      </c>
      <c r="H11" s="145"/>
      <c r="I11" s="145"/>
      <c r="J11" s="145"/>
    </row>
    <row r="12" spans="1:10" ht="14.25">
      <c r="A12" s="164" t="s">
        <v>22</v>
      </c>
      <c r="B12" s="25" t="s">
        <v>23</v>
      </c>
      <c r="C12" s="26">
        <v>1893378</v>
      </c>
      <c r="D12" s="26">
        <v>1394020</v>
      </c>
      <c r="E12" s="27">
        <f t="shared" ref="E12:E18" si="1">(C12-D12)/D12</f>
        <v>0.35821437282105001</v>
      </c>
      <c r="F12" s="28">
        <f>C12/6500000</f>
        <v>0.291288923076923</v>
      </c>
      <c r="G12" s="228" t="s">
        <v>654</v>
      </c>
      <c r="H12" s="254"/>
      <c r="I12" s="254"/>
      <c r="J12" s="255"/>
    </row>
    <row r="13" spans="1:10" ht="14.25">
      <c r="A13" s="164"/>
      <c r="B13" s="25" t="s">
        <v>25</v>
      </c>
      <c r="C13" s="26">
        <v>111779</v>
      </c>
      <c r="D13" s="26">
        <v>127357</v>
      </c>
      <c r="E13" s="27">
        <f t="shared" si="1"/>
        <v>-0.122317579716859</v>
      </c>
      <c r="F13" s="28">
        <f t="shared" ref="F13:F18" si="2">C13/6500000</f>
        <v>1.71967692307692E-2</v>
      </c>
      <c r="G13" s="256"/>
      <c r="H13" s="257"/>
      <c r="I13" s="257"/>
      <c r="J13" s="258"/>
    </row>
    <row r="14" spans="1:10" ht="27.6" customHeight="1">
      <c r="A14" s="164" t="s">
        <v>26</v>
      </c>
      <c r="B14" s="25" t="s">
        <v>27</v>
      </c>
      <c r="C14" s="26">
        <v>2720112.23</v>
      </c>
      <c r="D14" s="26">
        <v>2451101.11</v>
      </c>
      <c r="E14" s="27">
        <f t="shared" si="1"/>
        <v>0.10975113140069501</v>
      </c>
      <c r="F14" s="28">
        <f t="shared" si="2"/>
        <v>0.418478804615385</v>
      </c>
      <c r="G14" s="146" t="s">
        <v>655</v>
      </c>
      <c r="H14" s="147"/>
      <c r="I14" s="147"/>
      <c r="J14" s="147"/>
    </row>
    <row r="15" spans="1:10" ht="27.95" customHeight="1">
      <c r="A15" s="164"/>
      <c r="B15" s="25" t="s">
        <v>29</v>
      </c>
      <c r="C15" s="26">
        <v>2173862</v>
      </c>
      <c r="D15" s="26">
        <v>573261</v>
      </c>
      <c r="E15" s="27">
        <f t="shared" si="1"/>
        <v>2.792098189132</v>
      </c>
      <c r="F15" s="28">
        <f t="shared" si="2"/>
        <v>0.33444030769230798</v>
      </c>
      <c r="G15" s="148" t="s">
        <v>656</v>
      </c>
      <c r="H15" s="149"/>
      <c r="I15" s="149"/>
      <c r="J15" s="149"/>
    </row>
    <row r="16" spans="1:10" ht="14.25">
      <c r="A16" s="164" t="s">
        <v>31</v>
      </c>
      <c r="B16" s="25" t="s">
        <v>34</v>
      </c>
      <c r="C16" s="26">
        <v>356547</v>
      </c>
      <c r="D16" s="29">
        <v>113466</v>
      </c>
      <c r="E16" s="27">
        <f t="shared" si="1"/>
        <v>2.1423245729998399</v>
      </c>
      <c r="F16" s="28">
        <f t="shared" si="2"/>
        <v>5.4853384615384602E-2</v>
      </c>
      <c r="G16" s="150" t="s">
        <v>657</v>
      </c>
      <c r="H16" s="150"/>
      <c r="I16" s="150"/>
      <c r="J16" s="150"/>
    </row>
    <row r="17" spans="1:17" ht="14.25">
      <c r="A17" s="164"/>
      <c r="B17" s="25" t="s">
        <v>36</v>
      </c>
      <c r="C17" s="26">
        <v>109384</v>
      </c>
      <c r="D17" s="26">
        <v>487558</v>
      </c>
      <c r="E17" s="27">
        <f t="shared" si="1"/>
        <v>-0.77564925608850599</v>
      </c>
      <c r="F17" s="28">
        <f t="shared" si="2"/>
        <v>1.6828307692307701E-2</v>
      </c>
      <c r="G17" s="150" t="s">
        <v>658</v>
      </c>
      <c r="H17" s="150"/>
      <c r="I17" s="150"/>
      <c r="J17" s="150"/>
    </row>
    <row r="18" spans="1:17" ht="45" customHeight="1">
      <c r="A18" s="164"/>
      <c r="B18" s="25" t="s">
        <v>37</v>
      </c>
      <c r="C18" s="26">
        <v>185000</v>
      </c>
      <c r="D18" s="26">
        <v>334000</v>
      </c>
      <c r="E18" s="27">
        <f t="shared" si="1"/>
        <v>-0.44610778443113802</v>
      </c>
      <c r="F18" s="28">
        <f t="shared" si="2"/>
        <v>2.84615384615385E-2</v>
      </c>
      <c r="G18" s="150" t="s">
        <v>659</v>
      </c>
      <c r="H18" s="161"/>
      <c r="I18" s="161"/>
      <c r="J18" s="161"/>
    </row>
    <row r="19" spans="1:17" ht="14.25">
      <c r="C19" s="30"/>
      <c r="D19" s="30"/>
      <c r="E19" s="31"/>
    </row>
    <row r="23" spans="1:17" ht="14.25">
      <c r="A23" s="251" t="s">
        <v>660</v>
      </c>
      <c r="B23" s="252"/>
      <c r="C23" s="252"/>
      <c r="D23" s="252"/>
      <c r="E23" s="252"/>
      <c r="F23" s="252"/>
      <c r="G23" s="252"/>
      <c r="H23" s="252"/>
      <c r="I23" s="252"/>
      <c r="J23" s="252"/>
      <c r="K23" s="252"/>
      <c r="L23" s="252"/>
      <c r="M23" s="252"/>
      <c r="N23" s="252"/>
      <c r="O23" s="252"/>
      <c r="P23" s="252"/>
      <c r="Q23" s="252"/>
    </row>
    <row r="24" spans="1:17" ht="14.25">
      <c r="A24" s="32" t="s">
        <v>41</v>
      </c>
      <c r="B24" s="32" t="s">
        <v>42</v>
      </c>
      <c r="C24" s="32" t="s">
        <v>43</v>
      </c>
      <c r="D24" s="32" t="s">
        <v>291</v>
      </c>
      <c r="E24" s="32" t="s">
        <v>661</v>
      </c>
      <c r="F24" s="32" t="s">
        <v>129</v>
      </c>
      <c r="G24" s="32" t="s">
        <v>19</v>
      </c>
      <c r="H24" s="32" t="s">
        <v>20</v>
      </c>
      <c r="I24" s="153" t="s">
        <v>21</v>
      </c>
      <c r="J24" s="153"/>
      <c r="K24" s="153"/>
      <c r="L24" s="32" t="s">
        <v>662</v>
      </c>
      <c r="M24" s="32" t="s">
        <v>663</v>
      </c>
      <c r="N24" s="32" t="s">
        <v>664</v>
      </c>
      <c r="O24" s="153" t="s">
        <v>292</v>
      </c>
      <c r="P24" s="153"/>
      <c r="Q24" s="153"/>
    </row>
    <row r="25" spans="1:17" ht="14.25">
      <c r="A25" s="212" t="s">
        <v>44</v>
      </c>
      <c r="B25" s="128" t="s">
        <v>45</v>
      </c>
      <c r="C25" s="34" t="s">
        <v>46</v>
      </c>
      <c r="D25" s="35">
        <v>1300000</v>
      </c>
      <c r="E25" s="36">
        <v>1303310</v>
      </c>
      <c r="F25" s="29">
        <v>442775</v>
      </c>
      <c r="G25" s="37">
        <f>(E25-F25)/F25</f>
        <v>1.9435040370391301</v>
      </c>
      <c r="H25" s="38">
        <f>E25/6500000</f>
        <v>0.20050923076923099</v>
      </c>
      <c r="I25" s="189" t="s">
        <v>665</v>
      </c>
      <c r="J25" s="190"/>
      <c r="K25" s="190"/>
      <c r="L25" s="39">
        <v>1000000</v>
      </c>
      <c r="M25" s="39">
        <v>1000000</v>
      </c>
      <c r="N25" s="39">
        <v>1200000</v>
      </c>
      <c r="O25" s="150" t="s">
        <v>626</v>
      </c>
      <c r="P25" s="150"/>
      <c r="Q25" s="150"/>
    </row>
    <row r="26" spans="1:17" ht="14.25">
      <c r="A26" s="213"/>
      <c r="B26" s="131" t="s">
        <v>48</v>
      </c>
      <c r="C26" s="41" t="s">
        <v>49</v>
      </c>
      <c r="D26" s="35">
        <v>750000</v>
      </c>
      <c r="E26" s="36">
        <v>2420454</v>
      </c>
      <c r="F26" s="29">
        <v>236738</v>
      </c>
      <c r="G26" s="37">
        <f t="shared" ref="G26:G42" si="3">(E26-F26)/F26</f>
        <v>9.2241887656396493</v>
      </c>
      <c r="H26" s="38">
        <f t="shared" ref="H26:H46" si="4">E26/6500000</f>
        <v>0.37237753846153798</v>
      </c>
      <c r="I26" s="192"/>
      <c r="J26" s="193"/>
      <c r="K26" s="193"/>
      <c r="L26" s="39">
        <v>600000</v>
      </c>
      <c r="M26" s="39">
        <v>600000</v>
      </c>
      <c r="N26" s="39">
        <v>600000</v>
      </c>
      <c r="O26" s="150"/>
      <c r="P26" s="150"/>
      <c r="Q26" s="150"/>
    </row>
    <row r="27" spans="1:17" ht="14.25">
      <c r="A27" s="213"/>
      <c r="B27" s="131" t="s">
        <v>50</v>
      </c>
      <c r="C27" s="41" t="s">
        <v>51</v>
      </c>
      <c r="D27" s="35">
        <v>500000</v>
      </c>
      <c r="E27" s="36">
        <v>623976</v>
      </c>
      <c r="F27" s="29">
        <v>519465</v>
      </c>
      <c r="G27" s="37">
        <f t="shared" si="3"/>
        <v>0.20118968554185601</v>
      </c>
      <c r="H27" s="38">
        <f t="shared" si="4"/>
        <v>9.59963076923077E-2</v>
      </c>
      <c r="I27" s="189" t="s">
        <v>666</v>
      </c>
      <c r="J27" s="190"/>
      <c r="K27" s="190"/>
      <c r="L27" s="39">
        <v>600000</v>
      </c>
      <c r="M27" s="39">
        <v>600000</v>
      </c>
      <c r="N27" s="39">
        <v>600000</v>
      </c>
      <c r="O27" s="150"/>
      <c r="P27" s="150"/>
      <c r="Q27" s="150"/>
    </row>
    <row r="28" spans="1:17" ht="14.25">
      <c r="A28" s="213"/>
      <c r="B28" s="131" t="s">
        <v>53</v>
      </c>
      <c r="C28" s="41" t="s">
        <v>54</v>
      </c>
      <c r="D28" s="35">
        <v>550000</v>
      </c>
      <c r="E28" s="36">
        <v>309075</v>
      </c>
      <c r="F28" s="29">
        <v>717594</v>
      </c>
      <c r="G28" s="37">
        <f t="shared" si="3"/>
        <v>-0.56928987700566103</v>
      </c>
      <c r="H28" s="38">
        <f t="shared" si="4"/>
        <v>4.7550000000000002E-2</v>
      </c>
      <c r="I28" s="192"/>
      <c r="J28" s="193"/>
      <c r="K28" s="193"/>
      <c r="L28" s="39">
        <v>200000</v>
      </c>
      <c r="M28" s="39">
        <v>200000</v>
      </c>
      <c r="N28" s="39">
        <v>200000</v>
      </c>
      <c r="O28" s="150"/>
      <c r="P28" s="150"/>
      <c r="Q28" s="150"/>
    </row>
    <row r="29" spans="1:17" ht="22.35" customHeight="1">
      <c r="A29" s="213"/>
      <c r="B29" s="129" t="s">
        <v>55</v>
      </c>
      <c r="C29" s="43" t="s">
        <v>56</v>
      </c>
      <c r="D29" s="35">
        <v>150000</v>
      </c>
      <c r="E29" s="36">
        <v>77519</v>
      </c>
      <c r="F29" s="29">
        <v>1045</v>
      </c>
      <c r="G29" s="37">
        <f t="shared" si="3"/>
        <v>73.180861244019098</v>
      </c>
      <c r="H29" s="38">
        <f t="shared" si="4"/>
        <v>1.1926000000000001E-2</v>
      </c>
      <c r="I29" s="189" t="s">
        <v>667</v>
      </c>
      <c r="J29" s="190"/>
      <c r="K29" s="190"/>
      <c r="L29" s="39">
        <v>100000</v>
      </c>
      <c r="M29" s="39">
        <v>120000</v>
      </c>
      <c r="N29" s="39">
        <v>120000</v>
      </c>
      <c r="O29" s="150"/>
      <c r="P29" s="150"/>
      <c r="Q29" s="150"/>
    </row>
    <row r="30" spans="1:17" ht="27.6" customHeight="1">
      <c r="A30" s="213"/>
      <c r="B30" s="130" t="s">
        <v>137</v>
      </c>
      <c r="C30" s="43" t="s">
        <v>138</v>
      </c>
      <c r="D30" s="35">
        <v>50000</v>
      </c>
      <c r="E30" s="36">
        <v>7573</v>
      </c>
      <c r="F30" s="29">
        <v>4561</v>
      </c>
      <c r="G30" s="37">
        <f t="shared" si="3"/>
        <v>0.660381495286121</v>
      </c>
      <c r="H30" s="38">
        <f t="shared" si="4"/>
        <v>1.1650769230769199E-3</v>
      </c>
      <c r="I30" s="195"/>
      <c r="J30" s="176"/>
      <c r="K30" s="176"/>
      <c r="L30" s="39">
        <v>20000</v>
      </c>
      <c r="M30" s="39">
        <v>20000</v>
      </c>
      <c r="N30" s="39">
        <v>20000</v>
      </c>
      <c r="O30" s="150"/>
      <c r="P30" s="150"/>
      <c r="Q30" s="150"/>
    </row>
    <row r="31" spans="1:17" ht="14.25">
      <c r="A31" s="165" t="s">
        <v>59</v>
      </c>
      <c r="B31" s="129" t="s">
        <v>60</v>
      </c>
      <c r="C31" s="43" t="s">
        <v>61</v>
      </c>
      <c r="D31" s="35">
        <v>90000</v>
      </c>
      <c r="E31" s="36">
        <v>42854</v>
      </c>
      <c r="F31" s="26">
        <v>69277</v>
      </c>
      <c r="G31" s="37">
        <f t="shared" si="3"/>
        <v>-0.38141085786047302</v>
      </c>
      <c r="H31" s="38">
        <f t="shared" si="4"/>
        <v>6.5929230769230804E-3</v>
      </c>
      <c r="I31" s="189" t="s">
        <v>668</v>
      </c>
      <c r="J31" s="190"/>
      <c r="K31" s="190"/>
      <c r="L31" s="39">
        <v>50000</v>
      </c>
      <c r="M31" s="39">
        <v>50000</v>
      </c>
      <c r="N31" s="39">
        <v>60000</v>
      </c>
      <c r="O31" s="150" t="s">
        <v>298</v>
      </c>
      <c r="P31" s="150"/>
      <c r="Q31" s="150"/>
    </row>
    <row r="32" spans="1:17" ht="14.25">
      <c r="A32" s="165"/>
      <c r="B32" s="131" t="s">
        <v>63</v>
      </c>
      <c r="C32" s="41" t="s">
        <v>64</v>
      </c>
      <c r="D32" s="35">
        <v>30000</v>
      </c>
      <c r="E32" s="36">
        <v>16415</v>
      </c>
      <c r="F32" s="26">
        <v>34753</v>
      </c>
      <c r="G32" s="37">
        <f t="shared" si="3"/>
        <v>-0.52766667625816499</v>
      </c>
      <c r="H32" s="38">
        <f t="shared" si="4"/>
        <v>2.5253846153846199E-3</v>
      </c>
      <c r="I32" s="195"/>
      <c r="J32" s="176"/>
      <c r="K32" s="176"/>
      <c r="L32" s="39">
        <v>15000</v>
      </c>
      <c r="M32" s="39">
        <v>18000</v>
      </c>
      <c r="N32" s="39">
        <v>15000</v>
      </c>
      <c r="O32" s="150"/>
      <c r="P32" s="150"/>
      <c r="Q32" s="150"/>
    </row>
    <row r="33" spans="1:19" ht="14.25">
      <c r="A33" s="165"/>
      <c r="B33" s="131" t="s">
        <v>65</v>
      </c>
      <c r="C33" s="41" t="s">
        <v>66</v>
      </c>
      <c r="D33" s="35">
        <v>50000</v>
      </c>
      <c r="E33" s="36">
        <v>41627</v>
      </c>
      <c r="F33" s="26">
        <v>42167</v>
      </c>
      <c r="G33" s="37">
        <f t="shared" si="3"/>
        <v>-1.28062228757085E-2</v>
      </c>
      <c r="H33" s="38">
        <f t="shared" si="4"/>
        <v>6.4041538461538502E-3</v>
      </c>
      <c r="I33" s="195"/>
      <c r="J33" s="176"/>
      <c r="K33" s="176"/>
      <c r="L33" s="39">
        <v>30000</v>
      </c>
      <c r="M33" s="39">
        <v>40000</v>
      </c>
      <c r="N33" s="39">
        <v>60000</v>
      </c>
      <c r="O33" s="150"/>
      <c r="P33" s="150"/>
      <c r="Q33" s="150"/>
    </row>
    <row r="34" spans="1:19" ht="14.25">
      <c r="A34" s="165"/>
      <c r="B34" s="131" t="s">
        <v>67</v>
      </c>
      <c r="C34" s="41" t="s">
        <v>68</v>
      </c>
      <c r="D34" s="35">
        <v>20000</v>
      </c>
      <c r="E34" s="36">
        <v>18737</v>
      </c>
      <c r="F34" s="26">
        <v>23211</v>
      </c>
      <c r="G34" s="37">
        <f t="shared" si="3"/>
        <v>-0.192753435870923</v>
      </c>
      <c r="H34" s="38">
        <f t="shared" si="4"/>
        <v>2.8826153846153802E-3</v>
      </c>
      <c r="I34" s="195"/>
      <c r="J34" s="176"/>
      <c r="K34" s="176"/>
      <c r="L34" s="39">
        <v>10000</v>
      </c>
      <c r="M34" s="39">
        <v>10000</v>
      </c>
      <c r="N34" s="39">
        <v>15000</v>
      </c>
      <c r="O34" s="150"/>
      <c r="P34" s="150"/>
      <c r="Q34" s="150"/>
    </row>
    <row r="35" spans="1:19" ht="14.25">
      <c r="A35" s="165"/>
      <c r="B35" s="129" t="s">
        <v>69</v>
      </c>
      <c r="C35" s="43" t="s">
        <v>70</v>
      </c>
      <c r="D35" s="35">
        <v>90000</v>
      </c>
      <c r="E35" s="36">
        <v>57583</v>
      </c>
      <c r="F35" s="26">
        <v>84992</v>
      </c>
      <c r="G35" s="37">
        <f t="shared" si="3"/>
        <v>-0.322489175451807</v>
      </c>
      <c r="H35" s="38">
        <f t="shared" si="4"/>
        <v>8.8589230769230802E-3</v>
      </c>
      <c r="I35" s="195"/>
      <c r="J35" s="176"/>
      <c r="K35" s="176"/>
      <c r="L35" s="39">
        <v>50000</v>
      </c>
      <c r="M35" s="39">
        <v>60000</v>
      </c>
      <c r="N35" s="39">
        <v>60000</v>
      </c>
      <c r="O35" s="150"/>
      <c r="P35" s="150"/>
      <c r="Q35" s="150"/>
    </row>
    <row r="36" spans="1:19" ht="14.25">
      <c r="A36" s="165"/>
      <c r="B36" s="131" t="s">
        <v>72</v>
      </c>
      <c r="C36" s="41" t="s">
        <v>73</v>
      </c>
      <c r="D36" s="35">
        <v>40000</v>
      </c>
      <c r="E36" s="36">
        <v>22645</v>
      </c>
      <c r="F36" s="26">
        <v>17552</v>
      </c>
      <c r="G36" s="37">
        <f t="shared" si="3"/>
        <v>0.29016636280765701</v>
      </c>
      <c r="H36" s="38">
        <f t="shared" si="4"/>
        <v>3.4838461538461499E-3</v>
      </c>
      <c r="I36" s="192"/>
      <c r="J36" s="193"/>
      <c r="K36" s="193"/>
      <c r="L36" s="39">
        <v>20000</v>
      </c>
      <c r="M36" s="39">
        <v>20000</v>
      </c>
      <c r="N36" s="39">
        <v>20000</v>
      </c>
      <c r="O36" s="150"/>
      <c r="P36" s="150"/>
      <c r="Q36" s="150"/>
    </row>
    <row r="37" spans="1:19" ht="14.25">
      <c r="A37" s="167" t="s">
        <v>74</v>
      </c>
      <c r="B37" s="46">
        <v>100127194542</v>
      </c>
      <c r="C37" s="41" t="s">
        <v>75</v>
      </c>
      <c r="D37" s="35">
        <v>40000</v>
      </c>
      <c r="E37" s="36">
        <v>22851</v>
      </c>
      <c r="F37" s="26">
        <v>21002</v>
      </c>
      <c r="G37" s="37">
        <f t="shared" si="3"/>
        <v>8.8039234358632507E-2</v>
      </c>
      <c r="H37" s="38">
        <f t="shared" si="4"/>
        <v>3.5155384615384601E-3</v>
      </c>
      <c r="I37" s="150" t="s">
        <v>669</v>
      </c>
      <c r="J37" s="161"/>
      <c r="K37" s="161"/>
      <c r="L37" s="39">
        <v>30000</v>
      </c>
      <c r="M37" s="39">
        <v>40000</v>
      </c>
      <c r="N37" s="39">
        <v>40000</v>
      </c>
      <c r="O37" s="150" t="s">
        <v>300</v>
      </c>
      <c r="P37" s="150"/>
      <c r="Q37" s="150"/>
    </row>
    <row r="38" spans="1:19" ht="14.25">
      <c r="A38" s="169"/>
      <c r="B38" s="48">
        <v>100150693764</v>
      </c>
      <c r="C38" s="49" t="s">
        <v>77</v>
      </c>
      <c r="D38" s="35">
        <v>60000</v>
      </c>
      <c r="E38" s="36">
        <v>54904</v>
      </c>
      <c r="F38" s="26">
        <v>26580</v>
      </c>
      <c r="G38" s="37">
        <f t="shared" si="3"/>
        <v>1.0656132430398799</v>
      </c>
      <c r="H38" s="38">
        <f t="shared" si="4"/>
        <v>8.4467692307692299E-3</v>
      </c>
      <c r="I38" s="161"/>
      <c r="J38" s="161"/>
      <c r="K38" s="161"/>
      <c r="L38" s="39">
        <v>25000</v>
      </c>
      <c r="M38" s="39">
        <v>30000</v>
      </c>
      <c r="N38" s="39">
        <v>30000</v>
      </c>
      <c r="O38" s="150"/>
      <c r="P38" s="150"/>
      <c r="Q38" s="150"/>
    </row>
    <row r="39" spans="1:19" ht="26.25" customHeight="1">
      <c r="A39" s="169"/>
      <c r="B39" s="46">
        <v>100325407774</v>
      </c>
      <c r="C39" s="41" t="s">
        <v>301</v>
      </c>
      <c r="D39" s="35">
        <v>30000</v>
      </c>
      <c r="E39" s="36">
        <v>36343</v>
      </c>
      <c r="F39" s="29" t="s">
        <v>57</v>
      </c>
      <c r="G39" s="37" t="s">
        <v>57</v>
      </c>
      <c r="H39" s="38">
        <f t="shared" si="4"/>
        <v>5.5912307692307702E-3</v>
      </c>
      <c r="I39" s="231" t="s">
        <v>670</v>
      </c>
      <c r="J39" s="235"/>
      <c r="K39" s="235"/>
      <c r="L39" s="39">
        <v>35000</v>
      </c>
      <c r="M39" s="39">
        <v>40000</v>
      </c>
      <c r="N39" s="39">
        <v>45000</v>
      </c>
      <c r="O39" s="242" t="s">
        <v>240</v>
      </c>
      <c r="P39" s="242"/>
      <c r="Q39" s="242"/>
    </row>
    <row r="40" spans="1:19" ht="26.25" customHeight="1">
      <c r="A40" s="166"/>
      <c r="B40" s="46">
        <v>100369415562</v>
      </c>
      <c r="C40" s="41" t="s">
        <v>671</v>
      </c>
      <c r="D40" s="35">
        <v>10000</v>
      </c>
      <c r="E40" s="36">
        <v>6225</v>
      </c>
      <c r="F40" s="29" t="s">
        <v>57</v>
      </c>
      <c r="G40" s="37" t="s">
        <v>57</v>
      </c>
      <c r="H40" s="38">
        <f t="shared" si="4"/>
        <v>9.5769230769230805E-4</v>
      </c>
      <c r="I40" s="189" t="s">
        <v>672</v>
      </c>
      <c r="J40" s="190"/>
      <c r="K40" s="190"/>
      <c r="L40" s="39">
        <v>30000</v>
      </c>
      <c r="M40" s="39">
        <v>50000</v>
      </c>
      <c r="N40" s="39">
        <v>60000</v>
      </c>
      <c r="O40" s="294" t="s">
        <v>673</v>
      </c>
      <c r="P40" s="295"/>
      <c r="Q40" s="296"/>
    </row>
    <row r="41" spans="1:19" ht="14.25">
      <c r="A41" s="164" t="s">
        <v>78</v>
      </c>
      <c r="B41" s="129" t="s">
        <v>79</v>
      </c>
      <c r="C41" s="43" t="s">
        <v>80</v>
      </c>
      <c r="D41" s="35">
        <v>55000</v>
      </c>
      <c r="E41" s="36">
        <v>13795</v>
      </c>
      <c r="F41" s="36">
        <v>31823</v>
      </c>
      <c r="G41" s="37">
        <f t="shared" si="3"/>
        <v>-0.56650850014140697</v>
      </c>
      <c r="H41" s="38">
        <f t="shared" si="4"/>
        <v>2.1223076923076898E-3</v>
      </c>
      <c r="I41" s="189" t="s">
        <v>674</v>
      </c>
      <c r="J41" s="190"/>
      <c r="K41" s="190"/>
      <c r="L41" s="39">
        <v>20000</v>
      </c>
      <c r="M41" s="39">
        <v>25000</v>
      </c>
      <c r="N41" s="39">
        <v>30000</v>
      </c>
      <c r="O41" s="150" t="s">
        <v>303</v>
      </c>
      <c r="P41" s="150"/>
      <c r="Q41" s="150"/>
    </row>
    <row r="42" spans="1:19" ht="14.25">
      <c r="A42" s="164"/>
      <c r="B42" s="129" t="s">
        <v>82</v>
      </c>
      <c r="C42" s="49" t="s">
        <v>83</v>
      </c>
      <c r="D42" s="35">
        <v>35000</v>
      </c>
      <c r="E42" s="36">
        <v>21595</v>
      </c>
      <c r="F42" s="29">
        <v>27571</v>
      </c>
      <c r="G42" s="37">
        <f t="shared" si="3"/>
        <v>-0.21674948315258799</v>
      </c>
      <c r="H42" s="38">
        <f t="shared" si="4"/>
        <v>3.3223076923076899E-3</v>
      </c>
      <c r="I42" s="192"/>
      <c r="J42" s="193"/>
      <c r="K42" s="193"/>
      <c r="L42" s="39">
        <v>20000</v>
      </c>
      <c r="M42" s="39">
        <v>25000</v>
      </c>
      <c r="N42" s="39">
        <v>30000</v>
      </c>
      <c r="O42" s="150"/>
      <c r="P42" s="150"/>
      <c r="Q42" s="150"/>
    </row>
    <row r="43" spans="1:19" ht="14.25">
      <c r="A43" s="164"/>
      <c r="B43" s="48">
        <v>100230489825</v>
      </c>
      <c r="C43" s="43" t="s">
        <v>84</v>
      </c>
      <c r="D43" s="35">
        <v>200000</v>
      </c>
      <c r="E43" s="36">
        <v>60942</v>
      </c>
      <c r="F43" s="29" t="s">
        <v>57</v>
      </c>
      <c r="G43" s="37" t="s">
        <v>57</v>
      </c>
      <c r="H43" s="38">
        <f t="shared" si="4"/>
        <v>9.3756923076923106E-3</v>
      </c>
      <c r="I43" s="189" t="s">
        <v>675</v>
      </c>
      <c r="J43" s="190"/>
      <c r="K43" s="190"/>
      <c r="L43" s="39">
        <v>50000</v>
      </c>
      <c r="M43" s="39">
        <v>50000</v>
      </c>
      <c r="N43" s="39">
        <v>50000</v>
      </c>
      <c r="O43" s="150"/>
      <c r="P43" s="150"/>
      <c r="Q43" s="150"/>
    </row>
    <row r="44" spans="1:19" ht="14.25">
      <c r="A44" s="164"/>
      <c r="B44" s="48">
        <v>100307579062</v>
      </c>
      <c r="C44" s="49" t="s">
        <v>85</v>
      </c>
      <c r="D44" s="35">
        <v>50000</v>
      </c>
      <c r="E44" s="36">
        <v>23501</v>
      </c>
      <c r="F44" s="29" t="s">
        <v>57</v>
      </c>
      <c r="G44" s="37" t="s">
        <v>57</v>
      </c>
      <c r="H44" s="38">
        <f t="shared" si="4"/>
        <v>3.61553846153846E-3</v>
      </c>
      <c r="I44" s="192"/>
      <c r="J44" s="193"/>
      <c r="K44" s="193"/>
      <c r="L44" s="39">
        <v>20000</v>
      </c>
      <c r="M44" s="39">
        <v>20000</v>
      </c>
      <c r="N44" s="39">
        <v>20000</v>
      </c>
      <c r="O44" s="150"/>
      <c r="P44" s="150"/>
      <c r="Q44" s="150"/>
    </row>
    <row r="45" spans="1:19" ht="14.25">
      <c r="A45" s="167" t="s">
        <v>633</v>
      </c>
      <c r="B45" s="129" t="s">
        <v>232</v>
      </c>
      <c r="C45" s="43" t="s">
        <v>233</v>
      </c>
      <c r="D45" s="35">
        <v>120000</v>
      </c>
      <c r="E45" s="36">
        <v>14474</v>
      </c>
      <c r="F45" s="29" t="s">
        <v>57</v>
      </c>
      <c r="G45" s="37" t="s">
        <v>57</v>
      </c>
      <c r="H45" s="38">
        <f t="shared" si="4"/>
        <v>2.2267692307692301E-3</v>
      </c>
      <c r="I45" s="189" t="s">
        <v>676</v>
      </c>
      <c r="J45" s="289"/>
      <c r="K45" s="290"/>
      <c r="L45" s="39">
        <v>20000</v>
      </c>
      <c r="M45" s="39">
        <v>20000</v>
      </c>
      <c r="N45" s="39">
        <v>15000</v>
      </c>
      <c r="O45" s="189" t="s">
        <v>635</v>
      </c>
      <c r="P45" s="289"/>
      <c r="Q45" s="290"/>
    </row>
    <row r="46" spans="1:19" ht="14.25">
      <c r="A46" s="168"/>
      <c r="B46" s="48">
        <v>100266630279</v>
      </c>
      <c r="C46" s="43" t="s">
        <v>636</v>
      </c>
      <c r="D46" s="35">
        <v>60000</v>
      </c>
      <c r="E46" s="36">
        <v>30017</v>
      </c>
      <c r="F46" s="29" t="s">
        <v>57</v>
      </c>
      <c r="G46" s="37" t="s">
        <v>57</v>
      </c>
      <c r="H46" s="38">
        <f t="shared" si="4"/>
        <v>4.6179999999999997E-3</v>
      </c>
      <c r="I46" s="291"/>
      <c r="J46" s="292"/>
      <c r="K46" s="293"/>
      <c r="L46" s="39">
        <v>30000</v>
      </c>
      <c r="M46" s="39">
        <v>20000</v>
      </c>
      <c r="N46" s="39">
        <v>20000</v>
      </c>
      <c r="O46" s="291"/>
      <c r="P46" s="292"/>
      <c r="Q46" s="293"/>
    </row>
    <row r="47" spans="1:19" ht="14.25">
      <c r="A47" s="52"/>
      <c r="B47" s="53"/>
      <c r="C47" s="53"/>
      <c r="D47" s="52"/>
      <c r="E47" s="53"/>
      <c r="F47" s="53"/>
      <c r="G47" s="53"/>
      <c r="H47" s="53"/>
      <c r="I47" s="53"/>
      <c r="J47" s="53"/>
      <c r="K47" s="53"/>
      <c r="L47" s="53"/>
      <c r="M47" s="53"/>
      <c r="N47" s="53"/>
      <c r="O47" s="53"/>
    </row>
    <row r="48" spans="1:19" ht="14.25">
      <c r="A48" s="237" t="s">
        <v>677</v>
      </c>
      <c r="B48" s="237"/>
      <c r="C48" s="237"/>
      <c r="D48" s="237"/>
      <c r="E48" s="237"/>
      <c r="F48" s="237"/>
      <c r="G48" s="237"/>
      <c r="H48" s="237"/>
      <c r="I48" s="237"/>
      <c r="J48" s="237"/>
      <c r="K48" s="237"/>
      <c r="L48" s="237"/>
      <c r="M48" s="237"/>
      <c r="N48" s="237"/>
      <c r="O48" s="237"/>
      <c r="P48" s="237"/>
      <c r="Q48" s="237"/>
      <c r="R48" s="237"/>
      <c r="S48" s="237"/>
    </row>
    <row r="49" spans="1:19" ht="14.25">
      <c r="A49" s="238" t="s">
        <v>87</v>
      </c>
      <c r="B49" s="238"/>
      <c r="C49" s="54" t="s">
        <v>291</v>
      </c>
      <c r="D49" s="54" t="s">
        <v>678</v>
      </c>
      <c r="E49" s="54" t="s">
        <v>129</v>
      </c>
      <c r="F49" s="54" t="s">
        <v>19</v>
      </c>
      <c r="G49" s="54" t="s">
        <v>20</v>
      </c>
      <c r="H49" s="238" t="s">
        <v>21</v>
      </c>
      <c r="I49" s="238"/>
      <c r="J49" s="238"/>
      <c r="K49" s="238"/>
      <c r="L49" s="55" t="s">
        <v>662</v>
      </c>
      <c r="M49" s="55" t="s">
        <v>663</v>
      </c>
      <c r="N49" s="55" t="s">
        <v>664</v>
      </c>
      <c r="O49" s="210" t="s">
        <v>373</v>
      </c>
      <c r="P49" s="210"/>
      <c r="Q49" s="210"/>
      <c r="R49" s="210" t="s">
        <v>374</v>
      </c>
      <c r="S49" s="210"/>
    </row>
    <row r="50" spans="1:19" ht="29.1" customHeight="1">
      <c r="A50" s="164" t="s">
        <v>88</v>
      </c>
      <c r="B50" s="40" t="s">
        <v>89</v>
      </c>
      <c r="C50" s="56" t="s">
        <v>311</v>
      </c>
      <c r="D50" s="57">
        <v>4127281.62</v>
      </c>
      <c r="E50" s="26">
        <v>2551206.64</v>
      </c>
      <c r="F50" s="28">
        <f>(D50-E50)/E50</f>
        <v>0.61777629271143597</v>
      </c>
      <c r="G50" s="28">
        <f>D50/6500000</f>
        <v>0.63496640307692298</v>
      </c>
      <c r="H50" s="150" t="s">
        <v>679</v>
      </c>
      <c r="I50" s="150"/>
      <c r="J50" s="150"/>
      <c r="K50" s="150"/>
      <c r="L50" s="29">
        <v>2750000</v>
      </c>
      <c r="M50" s="56">
        <v>3000000</v>
      </c>
      <c r="N50" s="56">
        <v>3150000</v>
      </c>
      <c r="O50" s="231" t="s">
        <v>376</v>
      </c>
      <c r="P50" s="232"/>
      <c r="Q50" s="233"/>
      <c r="R50" s="150" t="s">
        <v>377</v>
      </c>
      <c r="S50" s="161"/>
    </row>
    <row r="51" spans="1:19" ht="21.75" customHeight="1">
      <c r="A51" s="165"/>
      <c r="B51" s="40" t="s">
        <v>91</v>
      </c>
      <c r="C51" s="56" t="s">
        <v>247</v>
      </c>
      <c r="D51" s="57">
        <v>2252951.9700000002</v>
      </c>
      <c r="E51" s="26">
        <v>1361423.3600000001</v>
      </c>
      <c r="F51" s="28">
        <f>(D51-E51)/E51</f>
        <v>0.65485038393935002</v>
      </c>
      <c r="G51" s="28">
        <f>D51/6500000</f>
        <v>0.34660799538461501</v>
      </c>
      <c r="H51" s="150"/>
      <c r="I51" s="150"/>
      <c r="J51" s="150"/>
      <c r="K51" s="150"/>
      <c r="L51" s="29">
        <v>1450000</v>
      </c>
      <c r="M51" s="56">
        <v>1500000</v>
      </c>
      <c r="N51" s="56">
        <v>1550000</v>
      </c>
      <c r="O51" s="231" t="s">
        <v>378</v>
      </c>
      <c r="P51" s="232"/>
      <c r="Q51" s="233"/>
      <c r="R51" s="150" t="s">
        <v>379</v>
      </c>
      <c r="S51" s="161"/>
    </row>
    <row r="52" spans="1:19" ht="40.5" customHeight="1">
      <c r="A52" s="164" t="s">
        <v>92</v>
      </c>
      <c r="B52" s="58" t="s">
        <v>93</v>
      </c>
      <c r="C52" s="56" t="s">
        <v>320</v>
      </c>
      <c r="D52" s="57">
        <v>1016191.94</v>
      </c>
      <c r="E52" s="26">
        <v>346768.47</v>
      </c>
      <c r="F52" s="28">
        <f>(D52-E52)/E52</f>
        <v>1.9304623341331999</v>
      </c>
      <c r="G52" s="28">
        <f>D52/6500000</f>
        <v>0.156337221538462</v>
      </c>
      <c r="H52" s="150" t="s">
        <v>680</v>
      </c>
      <c r="I52" s="161"/>
      <c r="J52" s="161"/>
      <c r="K52" s="161"/>
      <c r="L52" s="29">
        <v>400000</v>
      </c>
      <c r="M52" s="56">
        <v>500000</v>
      </c>
      <c r="N52" s="56">
        <v>520000</v>
      </c>
      <c r="O52" s="231" t="s">
        <v>381</v>
      </c>
      <c r="P52" s="232"/>
      <c r="Q52" s="233"/>
      <c r="R52" s="150" t="s">
        <v>322</v>
      </c>
      <c r="S52" s="161"/>
    </row>
    <row r="53" spans="1:19" ht="31.5" customHeight="1">
      <c r="A53" s="165"/>
      <c r="B53" s="40" t="s">
        <v>95</v>
      </c>
      <c r="C53" s="56" t="s">
        <v>325</v>
      </c>
      <c r="D53" s="57">
        <v>4133138</v>
      </c>
      <c r="E53" s="26">
        <v>1887880</v>
      </c>
      <c r="F53" s="28">
        <f>(D53-E53)/E53</f>
        <v>1.18930122677289</v>
      </c>
      <c r="G53" s="28">
        <f>D53/6500000</f>
        <v>0.63586738461538495</v>
      </c>
      <c r="H53" s="150" t="s">
        <v>681</v>
      </c>
      <c r="I53" s="161"/>
      <c r="J53" s="161"/>
      <c r="K53" s="161"/>
      <c r="L53" s="29">
        <v>1800000</v>
      </c>
      <c r="M53" s="56">
        <v>2100000</v>
      </c>
      <c r="N53" s="56">
        <v>2200000</v>
      </c>
      <c r="O53" s="231" t="s">
        <v>326</v>
      </c>
      <c r="P53" s="232"/>
      <c r="Q53" s="233"/>
      <c r="R53" s="150" t="s">
        <v>327</v>
      </c>
      <c r="S53" s="161"/>
    </row>
    <row r="54" spans="1:19" ht="14.25">
      <c r="A54" s="53"/>
      <c r="B54" s="53"/>
      <c r="C54" s="53"/>
      <c r="D54" s="53"/>
      <c r="E54" s="53"/>
      <c r="F54" s="53"/>
      <c r="G54" s="53"/>
      <c r="H54" s="53"/>
      <c r="I54" s="53"/>
      <c r="J54" s="53"/>
      <c r="K54" s="53"/>
      <c r="L54" s="53"/>
      <c r="M54" s="53"/>
      <c r="N54" s="53"/>
      <c r="O54" s="53"/>
    </row>
    <row r="55" spans="1:19" ht="14.25">
      <c r="A55" s="59"/>
      <c r="B55" s="53"/>
      <c r="C55" s="53"/>
      <c r="D55" s="53"/>
      <c r="E55" s="53"/>
      <c r="F55" s="53"/>
      <c r="G55" s="53"/>
      <c r="H55" s="53"/>
      <c r="I55" s="53"/>
      <c r="J55" s="53"/>
      <c r="K55" s="53"/>
      <c r="L55" s="53"/>
      <c r="M55" s="53"/>
      <c r="N55" s="53"/>
      <c r="O55" s="53"/>
    </row>
    <row r="56" spans="1:19" ht="14.25">
      <c r="A56" s="55" t="s">
        <v>682</v>
      </c>
      <c r="B56" s="55" t="s">
        <v>98</v>
      </c>
      <c r="C56" s="55" t="s">
        <v>99</v>
      </c>
      <c r="D56" s="55" t="s">
        <v>100</v>
      </c>
      <c r="E56" s="265" t="s">
        <v>101</v>
      </c>
      <c r="F56" s="266"/>
      <c r="G56" s="210" t="s">
        <v>102</v>
      </c>
      <c r="H56" s="210"/>
      <c r="I56" s="210" t="s">
        <v>21</v>
      </c>
      <c r="J56" s="265"/>
      <c r="K56" s="210" t="s">
        <v>384</v>
      </c>
      <c r="L56" s="210"/>
      <c r="M56" s="210"/>
      <c r="N56" s="210"/>
      <c r="O56" s="210"/>
      <c r="P56" s="210" t="s">
        <v>683</v>
      </c>
      <c r="Q56" s="210"/>
      <c r="R56" s="210"/>
      <c r="S56" s="210"/>
    </row>
    <row r="57" spans="1:19" ht="22.5" customHeight="1">
      <c r="A57" s="25" t="s">
        <v>89</v>
      </c>
      <c r="B57" s="26">
        <v>10146</v>
      </c>
      <c r="C57" s="26">
        <v>1028307</v>
      </c>
      <c r="D57" s="60">
        <v>101.35</v>
      </c>
      <c r="E57" s="271" t="s">
        <v>684</v>
      </c>
      <c r="F57" s="272"/>
      <c r="G57" s="150" t="s">
        <v>685</v>
      </c>
      <c r="H57" s="150"/>
      <c r="I57" s="189" t="s">
        <v>686</v>
      </c>
      <c r="J57" s="190"/>
      <c r="K57" s="150" t="s">
        <v>388</v>
      </c>
      <c r="L57" s="150"/>
      <c r="M57" s="150"/>
      <c r="N57" s="150"/>
      <c r="O57" s="150"/>
      <c r="P57" s="150" t="s">
        <v>687</v>
      </c>
      <c r="Q57" s="150"/>
      <c r="R57" s="150"/>
      <c r="S57" s="150"/>
    </row>
    <row r="58" spans="1:19" ht="21.75" customHeight="1">
      <c r="A58" s="25" t="s">
        <v>19</v>
      </c>
      <c r="B58" s="28">
        <v>0.4335</v>
      </c>
      <c r="C58" s="28">
        <v>0.375</v>
      </c>
      <c r="D58" s="28">
        <v>-4.0800000000000003E-2</v>
      </c>
      <c r="E58" s="272"/>
      <c r="F58" s="272"/>
      <c r="G58" s="150"/>
      <c r="H58" s="150"/>
      <c r="I58" s="195"/>
      <c r="J58" s="176"/>
      <c r="K58" s="150"/>
      <c r="L58" s="150"/>
      <c r="M58" s="150"/>
      <c r="N58" s="150"/>
      <c r="O58" s="150"/>
      <c r="P58" s="150"/>
      <c r="Q58" s="150"/>
      <c r="R58" s="150"/>
      <c r="S58" s="150"/>
    </row>
    <row r="59" spans="1:19" ht="21.75" customHeight="1">
      <c r="A59" s="25" t="s">
        <v>91</v>
      </c>
      <c r="B59" s="26">
        <v>9405</v>
      </c>
      <c r="C59" s="26">
        <v>1108397</v>
      </c>
      <c r="D59" s="60">
        <v>117.85</v>
      </c>
      <c r="E59" s="271" t="s">
        <v>688</v>
      </c>
      <c r="F59" s="272"/>
      <c r="G59" s="150" t="s">
        <v>689</v>
      </c>
      <c r="H59" s="150"/>
      <c r="I59" s="195"/>
      <c r="J59" s="176"/>
      <c r="K59" s="150"/>
      <c r="L59" s="150"/>
      <c r="M59" s="150"/>
      <c r="N59" s="150"/>
      <c r="O59" s="150"/>
      <c r="P59" s="150"/>
      <c r="Q59" s="150"/>
      <c r="R59" s="150"/>
      <c r="S59" s="150"/>
    </row>
    <row r="60" spans="1:19" ht="24.75" customHeight="1">
      <c r="A60" s="25" t="s">
        <v>19</v>
      </c>
      <c r="B60" s="28">
        <v>1.0774999999999999</v>
      </c>
      <c r="C60" s="28">
        <v>1.2388999999999999</v>
      </c>
      <c r="D60" s="28">
        <v>7.7600000000000002E-2</v>
      </c>
      <c r="E60" s="272"/>
      <c r="F60" s="272"/>
      <c r="G60" s="150"/>
      <c r="H60" s="150"/>
      <c r="I60" s="192"/>
      <c r="J60" s="193"/>
      <c r="K60" s="150"/>
      <c r="L60" s="150"/>
      <c r="M60" s="150"/>
      <c r="N60" s="150"/>
      <c r="O60" s="150"/>
      <c r="P60" s="150"/>
      <c r="Q60" s="150"/>
      <c r="R60" s="150"/>
      <c r="S60" s="150"/>
    </row>
    <row r="61" spans="1:19" ht="18" customHeight="1">
      <c r="A61" s="25" t="s">
        <v>97</v>
      </c>
      <c r="B61" s="26">
        <v>19551</v>
      </c>
      <c r="C61" s="26">
        <v>2136704</v>
      </c>
      <c r="D61" s="60">
        <v>109.28</v>
      </c>
      <c r="E61" s="273" t="s">
        <v>391</v>
      </c>
      <c r="F61" s="273"/>
      <c r="G61" s="273"/>
      <c r="H61" s="273"/>
      <c r="I61" s="273"/>
      <c r="J61" s="274"/>
      <c r="K61" s="150"/>
      <c r="L61" s="150"/>
      <c r="M61" s="150"/>
      <c r="N61" s="150"/>
      <c r="O61" s="150"/>
      <c r="P61" s="150"/>
      <c r="Q61" s="150"/>
      <c r="R61" s="150"/>
      <c r="S61" s="150"/>
    </row>
    <row r="62" spans="1:19" ht="18" customHeight="1">
      <c r="A62" s="42" t="s">
        <v>19</v>
      </c>
      <c r="B62" s="28">
        <v>0.68469999999999998</v>
      </c>
      <c r="C62" s="28">
        <v>0.71909999999999996</v>
      </c>
      <c r="D62" s="28">
        <v>2.0299999999999999E-2</v>
      </c>
      <c r="E62" s="273"/>
      <c r="F62" s="273"/>
      <c r="G62" s="273"/>
      <c r="H62" s="273"/>
      <c r="I62" s="273"/>
      <c r="J62" s="274"/>
      <c r="K62" s="150"/>
      <c r="L62" s="150"/>
      <c r="M62" s="150"/>
      <c r="N62" s="150"/>
      <c r="O62" s="150"/>
      <c r="P62" s="150"/>
      <c r="Q62" s="150"/>
      <c r="R62" s="150"/>
      <c r="S62" s="150"/>
    </row>
    <row r="65" spans="1:16" ht="15">
      <c r="A65" s="165" t="s">
        <v>109</v>
      </c>
      <c r="B65" s="62" t="s">
        <v>110</v>
      </c>
      <c r="C65" s="62" t="s">
        <v>111</v>
      </c>
      <c r="D65" s="62" t="s">
        <v>112</v>
      </c>
      <c r="E65" s="62" t="s">
        <v>113</v>
      </c>
      <c r="I65" s="63" t="s">
        <v>42</v>
      </c>
      <c r="J65" s="63" t="s">
        <v>392</v>
      </c>
      <c r="K65" s="63" t="s">
        <v>393</v>
      </c>
      <c r="L65" s="63" t="s">
        <v>394</v>
      </c>
      <c r="M65" s="63" t="s">
        <v>395</v>
      </c>
      <c r="N65" s="63" t="s">
        <v>396</v>
      </c>
      <c r="O65" s="63" t="s">
        <v>397</v>
      </c>
      <c r="P65" s="63" t="s">
        <v>398</v>
      </c>
    </row>
    <row r="66" spans="1:16" ht="14.25">
      <c r="A66" s="165"/>
      <c r="B66" s="25" t="s">
        <v>690</v>
      </c>
      <c r="C66" s="64">
        <v>18368</v>
      </c>
      <c r="D66" s="64">
        <v>19181</v>
      </c>
      <c r="E66" s="64">
        <v>113415</v>
      </c>
      <c r="I66" s="65" t="s">
        <v>400</v>
      </c>
      <c r="J66" s="50" t="s">
        <v>401</v>
      </c>
      <c r="K66" s="25">
        <v>7.9</v>
      </c>
      <c r="L66" s="25">
        <v>1</v>
      </c>
      <c r="M66" s="25">
        <v>9000</v>
      </c>
      <c r="N66" s="25">
        <v>9000</v>
      </c>
      <c r="O66" s="25" t="s">
        <v>402</v>
      </c>
      <c r="P66" s="239" t="s">
        <v>403</v>
      </c>
    </row>
    <row r="67" spans="1:16" ht="14.25">
      <c r="A67" s="165"/>
      <c r="B67" s="42" t="s">
        <v>117</v>
      </c>
      <c r="C67" s="64">
        <v>2137</v>
      </c>
      <c r="D67" s="64">
        <v>3115</v>
      </c>
      <c r="E67" s="64">
        <v>29729</v>
      </c>
      <c r="I67" s="65" t="s">
        <v>404</v>
      </c>
      <c r="J67" s="50" t="s">
        <v>405</v>
      </c>
      <c r="K67" s="25">
        <v>14.9</v>
      </c>
      <c r="L67" s="25">
        <v>1</v>
      </c>
      <c r="M67" s="25">
        <v>500</v>
      </c>
      <c r="N67" s="25">
        <v>500</v>
      </c>
      <c r="O67" s="25" t="s">
        <v>402</v>
      </c>
      <c r="P67" s="240"/>
    </row>
    <row r="68" spans="1:16" ht="14.25">
      <c r="A68" s="165"/>
      <c r="B68" s="42" t="s">
        <v>118</v>
      </c>
      <c r="C68" s="64">
        <v>4015</v>
      </c>
      <c r="D68" s="64">
        <v>4432</v>
      </c>
      <c r="E68" s="64">
        <v>87129.1</v>
      </c>
      <c r="I68" s="65" t="s">
        <v>406</v>
      </c>
      <c r="J68" s="50" t="s">
        <v>407</v>
      </c>
      <c r="K68" s="25">
        <v>14.9</v>
      </c>
      <c r="L68" s="25">
        <v>1</v>
      </c>
      <c r="M68" s="25">
        <v>500</v>
      </c>
      <c r="N68" s="25">
        <v>500</v>
      </c>
      <c r="O68" s="25" t="s">
        <v>402</v>
      </c>
      <c r="P68" s="240"/>
    </row>
    <row r="69" spans="1:16" ht="14.25">
      <c r="A69" s="189" t="s">
        <v>691</v>
      </c>
      <c r="B69" s="190"/>
      <c r="C69" s="190"/>
      <c r="D69" s="190"/>
      <c r="E69" s="191"/>
      <c r="I69" s="65" t="s">
        <v>409</v>
      </c>
      <c r="J69" s="50" t="s">
        <v>410</v>
      </c>
      <c r="K69" s="25">
        <v>9.9</v>
      </c>
      <c r="L69" s="25">
        <v>2.9</v>
      </c>
      <c r="M69" s="25">
        <v>2000</v>
      </c>
      <c r="N69" s="25">
        <v>5800</v>
      </c>
      <c r="O69" s="25" t="s">
        <v>402</v>
      </c>
      <c r="P69" s="240"/>
    </row>
    <row r="70" spans="1:16" ht="14.25">
      <c r="A70" s="195"/>
      <c r="B70" s="176"/>
      <c r="C70" s="176"/>
      <c r="D70" s="176"/>
      <c r="E70" s="201"/>
      <c r="I70" s="65" t="s">
        <v>273</v>
      </c>
      <c r="J70" s="50" t="s">
        <v>411</v>
      </c>
      <c r="K70" s="25">
        <v>9.9</v>
      </c>
      <c r="L70" s="25">
        <v>2.9</v>
      </c>
      <c r="M70" s="25">
        <v>2500</v>
      </c>
      <c r="N70" s="25">
        <v>7250</v>
      </c>
      <c r="O70" s="25" t="s">
        <v>402</v>
      </c>
      <c r="P70" s="240"/>
    </row>
    <row r="71" spans="1:16" ht="14.25">
      <c r="A71" s="192"/>
      <c r="B71" s="193"/>
      <c r="C71" s="193"/>
      <c r="D71" s="193"/>
      <c r="E71" s="194"/>
      <c r="I71" s="65" t="s">
        <v>412</v>
      </c>
      <c r="J71" s="50" t="s">
        <v>413</v>
      </c>
      <c r="K71" s="25">
        <v>25.9</v>
      </c>
      <c r="L71" s="25">
        <v>9.9</v>
      </c>
      <c r="M71" s="25">
        <v>4000</v>
      </c>
      <c r="N71" s="25">
        <v>39600</v>
      </c>
      <c r="O71" s="25" t="s">
        <v>402</v>
      </c>
      <c r="P71" s="240"/>
    </row>
    <row r="72" spans="1:16" ht="14.25">
      <c r="I72" s="65" t="s">
        <v>414</v>
      </c>
      <c r="J72" s="50" t="s">
        <v>415</v>
      </c>
      <c r="K72" s="25">
        <v>6.9</v>
      </c>
      <c r="L72" s="25">
        <v>4.9000000000000004</v>
      </c>
      <c r="M72" s="25">
        <v>1500</v>
      </c>
      <c r="N72" s="25">
        <v>7350</v>
      </c>
      <c r="O72" s="25" t="s">
        <v>402</v>
      </c>
      <c r="P72" s="240"/>
    </row>
    <row r="73" spans="1:16" ht="14.25">
      <c r="I73" s="130" t="s">
        <v>269</v>
      </c>
      <c r="J73" s="50" t="s">
        <v>347</v>
      </c>
      <c r="K73" s="42">
        <v>29</v>
      </c>
      <c r="L73" s="42">
        <v>17.899999999999999</v>
      </c>
      <c r="M73" s="42">
        <v>5000</v>
      </c>
      <c r="N73" s="42">
        <f t="shared" ref="N73:N78" si="5">M73*L73</f>
        <v>89500</v>
      </c>
      <c r="O73" s="25" t="s">
        <v>416</v>
      </c>
      <c r="P73" s="240"/>
    </row>
    <row r="74" spans="1:16" ht="14.25">
      <c r="I74" s="130" t="s">
        <v>271</v>
      </c>
      <c r="J74" s="50" t="s">
        <v>417</v>
      </c>
      <c r="K74" s="42">
        <v>39</v>
      </c>
      <c r="L74" s="42">
        <v>19.899999999999999</v>
      </c>
      <c r="M74" s="42">
        <v>3000</v>
      </c>
      <c r="N74" s="42">
        <f t="shared" si="5"/>
        <v>59700</v>
      </c>
      <c r="O74" s="25" t="s">
        <v>416</v>
      </c>
      <c r="P74" s="240"/>
    </row>
    <row r="75" spans="1:16" ht="14.25">
      <c r="I75" s="130" t="s">
        <v>419</v>
      </c>
      <c r="J75" s="50" t="s">
        <v>420</v>
      </c>
      <c r="K75" s="42">
        <v>49</v>
      </c>
      <c r="L75" s="42">
        <v>29.9</v>
      </c>
      <c r="M75" s="42">
        <v>1000</v>
      </c>
      <c r="N75" s="42">
        <f t="shared" si="5"/>
        <v>29900</v>
      </c>
      <c r="O75" s="25" t="s">
        <v>416</v>
      </c>
      <c r="P75" s="240"/>
    </row>
    <row r="76" spans="1:16" ht="14.25">
      <c r="I76" s="130" t="s">
        <v>275</v>
      </c>
      <c r="J76" s="50" t="s">
        <v>421</v>
      </c>
      <c r="K76" s="42">
        <v>29.9</v>
      </c>
      <c r="L76" s="25">
        <v>19.899999999999999</v>
      </c>
      <c r="M76" s="25">
        <v>800</v>
      </c>
      <c r="N76" s="42">
        <f t="shared" si="5"/>
        <v>15920</v>
      </c>
      <c r="O76" s="25" t="s">
        <v>416</v>
      </c>
      <c r="P76" s="240"/>
    </row>
    <row r="77" spans="1:16" ht="14.25">
      <c r="I77" s="130" t="s">
        <v>422</v>
      </c>
      <c r="J77" s="50" t="s">
        <v>423</v>
      </c>
      <c r="K77" s="42">
        <v>39.9</v>
      </c>
      <c r="L77" s="25">
        <v>25</v>
      </c>
      <c r="M77" s="25">
        <v>1000</v>
      </c>
      <c r="N77" s="42">
        <f t="shared" si="5"/>
        <v>25000</v>
      </c>
      <c r="O77" s="25" t="s">
        <v>416</v>
      </c>
      <c r="P77" s="240"/>
    </row>
    <row r="78" spans="1:16" ht="14.25">
      <c r="A78" s="32" t="s">
        <v>42</v>
      </c>
      <c r="B78" s="32" t="s">
        <v>43</v>
      </c>
      <c r="C78" s="32" t="s">
        <v>266</v>
      </c>
      <c r="D78" s="32" t="s">
        <v>267</v>
      </c>
      <c r="E78" s="32" t="s">
        <v>268</v>
      </c>
      <c r="I78" s="134" t="s">
        <v>425</v>
      </c>
      <c r="J78" s="66" t="s">
        <v>426</v>
      </c>
      <c r="K78" s="33">
        <v>49.9</v>
      </c>
      <c r="L78" s="45">
        <v>29.9</v>
      </c>
      <c r="M78" s="45">
        <v>1000</v>
      </c>
      <c r="N78" s="33">
        <f t="shared" si="5"/>
        <v>29900</v>
      </c>
      <c r="O78" s="25" t="s">
        <v>416</v>
      </c>
      <c r="P78" s="240"/>
    </row>
    <row r="79" spans="1:16" ht="14.25">
      <c r="A79" s="133" t="s">
        <v>400</v>
      </c>
      <c r="B79" s="25" t="s">
        <v>692</v>
      </c>
      <c r="C79" s="42">
        <v>1</v>
      </c>
      <c r="D79" s="42">
        <v>5026</v>
      </c>
      <c r="E79" s="26">
        <f>C79*D79</f>
        <v>5026</v>
      </c>
      <c r="I79" s="268" t="s">
        <v>430</v>
      </c>
      <c r="J79" s="268"/>
      <c r="K79" s="268"/>
      <c r="L79" s="268"/>
      <c r="M79" s="268"/>
      <c r="N79" s="268"/>
      <c r="O79" s="268"/>
      <c r="P79" s="268"/>
    </row>
    <row r="80" spans="1:16" ht="14.25">
      <c r="A80" s="133" t="s">
        <v>271</v>
      </c>
      <c r="B80" s="25" t="s">
        <v>417</v>
      </c>
      <c r="C80" s="42">
        <v>19.899999999999999</v>
      </c>
      <c r="D80" s="42">
        <v>1571</v>
      </c>
      <c r="E80" s="26">
        <f>C80*D80</f>
        <v>31262.9</v>
      </c>
    </row>
    <row r="81" spans="1:5" ht="14.25">
      <c r="A81" s="133" t="s">
        <v>412</v>
      </c>
      <c r="B81" s="25" t="s">
        <v>650</v>
      </c>
      <c r="C81" s="42">
        <v>9.9</v>
      </c>
      <c r="D81" s="42">
        <v>1651</v>
      </c>
      <c r="E81" s="26">
        <f>C81*D81</f>
        <v>16344.9</v>
      </c>
    </row>
    <row r="84" spans="1:5" ht="14.25">
      <c r="A84" s="267" t="s">
        <v>110</v>
      </c>
      <c r="B84" s="267" t="s">
        <v>424</v>
      </c>
      <c r="C84" s="267"/>
      <c r="D84" s="267"/>
      <c r="E84" s="267"/>
    </row>
    <row r="85" spans="1:5" ht="14.25">
      <c r="A85" s="267"/>
      <c r="B85" s="68" t="s">
        <v>427</v>
      </c>
      <c r="C85" s="68" t="s">
        <v>428</v>
      </c>
      <c r="D85" s="69" t="s">
        <v>429</v>
      </c>
      <c r="E85" s="69" t="s">
        <v>693</v>
      </c>
    </row>
    <row r="86" spans="1:5" ht="14.25">
      <c r="A86" s="70">
        <v>46116</v>
      </c>
      <c r="B86" s="42">
        <v>4033</v>
      </c>
      <c r="C86" s="42">
        <v>1372.85</v>
      </c>
      <c r="D86" s="42">
        <v>2234</v>
      </c>
      <c r="E86" s="25" t="s">
        <v>431</v>
      </c>
    </row>
    <row r="87" spans="1:5" ht="14.25">
      <c r="A87" s="71">
        <v>46124</v>
      </c>
      <c r="B87" s="33">
        <v>40490</v>
      </c>
      <c r="C87" s="33">
        <v>5092.3999999999996</v>
      </c>
      <c r="D87" s="42">
        <v>19856</v>
      </c>
      <c r="E87" s="25" t="s">
        <v>432</v>
      </c>
    </row>
    <row r="88" spans="1:5" ht="14.25">
      <c r="A88" s="70">
        <v>46169</v>
      </c>
      <c r="B88" s="42">
        <v>8565</v>
      </c>
      <c r="C88" s="42">
        <v>2262.4</v>
      </c>
      <c r="D88" s="42">
        <v>4753</v>
      </c>
      <c r="E88" s="25" t="s">
        <v>432</v>
      </c>
    </row>
    <row r="89" spans="1:5" ht="14.25">
      <c r="A89" s="70">
        <v>46187</v>
      </c>
      <c r="B89" s="42">
        <v>12973</v>
      </c>
      <c r="C89" s="42">
        <v>3043.6</v>
      </c>
      <c r="D89" s="42">
        <v>6545</v>
      </c>
      <c r="E89" s="25" t="s">
        <v>432</v>
      </c>
    </row>
  </sheetData>
  <sheetProtection formatCells="0" formatColumns="0" formatRows="0" insertColumns="0" insertRows="0" insertHyperlinks="0" deleteColumns="0" deleteRows="0" sort="0" autoFilter="0" pivotTables="0"/>
  <mergeCells count="76">
    <mergeCell ref="A69:E71"/>
    <mergeCell ref="P57:S62"/>
    <mergeCell ref="E57:F58"/>
    <mergeCell ref="G57:H58"/>
    <mergeCell ref="I57:J60"/>
    <mergeCell ref="K57:O62"/>
    <mergeCell ref="E59:F60"/>
    <mergeCell ref="G59:H60"/>
    <mergeCell ref="E61:J62"/>
    <mergeCell ref="I41:K42"/>
    <mergeCell ref="O41:Q44"/>
    <mergeCell ref="I43:K44"/>
    <mergeCell ref="I45:K46"/>
    <mergeCell ref="O45:Q46"/>
    <mergeCell ref="I79:P79"/>
    <mergeCell ref="B84:E84"/>
    <mergeCell ref="A12:A13"/>
    <mergeCell ref="A14:A15"/>
    <mergeCell ref="A16:A18"/>
    <mergeCell ref="A25:A30"/>
    <mergeCell ref="A31:A36"/>
    <mergeCell ref="A37:A40"/>
    <mergeCell ref="A41:A44"/>
    <mergeCell ref="A45:A46"/>
    <mergeCell ref="A50:A51"/>
    <mergeCell ref="A52:A53"/>
    <mergeCell ref="A65:A68"/>
    <mergeCell ref="A84:A85"/>
    <mergeCell ref="P66:P78"/>
    <mergeCell ref="G12:J13"/>
    <mergeCell ref="H53:K53"/>
    <mergeCell ref="O53:Q53"/>
    <mergeCell ref="R53:S53"/>
    <mergeCell ref="E56:F56"/>
    <mergeCell ref="G56:H56"/>
    <mergeCell ref="I56:J56"/>
    <mergeCell ref="K56:O56"/>
    <mergeCell ref="P56:S56"/>
    <mergeCell ref="O50:Q50"/>
    <mergeCell ref="R50:S50"/>
    <mergeCell ref="O51:Q51"/>
    <mergeCell ref="R51:S51"/>
    <mergeCell ref="H52:K52"/>
    <mergeCell ref="O52:Q52"/>
    <mergeCell ref="R52:S52"/>
    <mergeCell ref="H50:K51"/>
    <mergeCell ref="A48:S48"/>
    <mergeCell ref="A49:B49"/>
    <mergeCell ref="H49:K49"/>
    <mergeCell ref="O49:Q49"/>
    <mergeCell ref="R49:S49"/>
    <mergeCell ref="I24:K24"/>
    <mergeCell ref="O24:Q24"/>
    <mergeCell ref="I39:K39"/>
    <mergeCell ref="O39:Q39"/>
    <mergeCell ref="I40:K40"/>
    <mergeCell ref="O40:Q40"/>
    <mergeCell ref="I25:K26"/>
    <mergeCell ref="O25:Q30"/>
    <mergeCell ref="I27:K28"/>
    <mergeCell ref="I29:K30"/>
    <mergeCell ref="I31:K36"/>
    <mergeCell ref="O31:Q36"/>
    <mergeCell ref="I37:K38"/>
    <mergeCell ref="O37:Q38"/>
    <mergeCell ref="G15:J15"/>
    <mergeCell ref="G16:J16"/>
    <mergeCell ref="G17:J17"/>
    <mergeCell ref="G18:J18"/>
    <mergeCell ref="A23:Q23"/>
    <mergeCell ref="A1:G1"/>
    <mergeCell ref="A10:J10"/>
    <mergeCell ref="A11:B11"/>
    <mergeCell ref="G11:J11"/>
    <mergeCell ref="G14:J14"/>
    <mergeCell ref="E6:G7"/>
  </mergeCells>
  <phoneticPr fontId="15" type="noConversion"/>
  <pageMargins left="0.75" right="0.75" top="1" bottom="1" header="0.5" footer="0.5"/>
  <ignoredErrors>
    <ignoredError sqref="B25:B36 B41:B42 B45" numberStoredAsText="1"/>
  </ignoredError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45"/>
  <sheetViews>
    <sheetView tabSelected="1" workbookViewId="0">
      <selection activeCell="B30" sqref="B30"/>
    </sheetView>
  </sheetViews>
  <sheetFormatPr defaultColWidth="9" defaultRowHeight="13.5"/>
  <cols>
    <col min="4" max="4" width="9.375"/>
    <col min="5" max="5" width="13.75"/>
  </cols>
  <sheetData>
    <row r="1" spans="1:7" ht="14.25">
      <c r="A1" s="3" t="s">
        <v>1</v>
      </c>
      <c r="B1" s="4" t="s">
        <v>2</v>
      </c>
      <c r="C1" s="4" t="s">
        <v>3</v>
      </c>
      <c r="D1" s="4" t="s">
        <v>4</v>
      </c>
      <c r="E1" s="4" t="s">
        <v>5</v>
      </c>
      <c r="F1" s="4" t="s">
        <v>6</v>
      </c>
      <c r="G1" s="4" t="s">
        <v>7</v>
      </c>
    </row>
    <row r="2" spans="1:7" ht="14.25">
      <c r="A2" s="5" t="s">
        <v>9</v>
      </c>
      <c r="B2" s="6">
        <v>1809</v>
      </c>
      <c r="C2" s="6">
        <v>1891</v>
      </c>
      <c r="D2" s="7">
        <f t="shared" ref="D2:D7" si="0">(C2-B2)/B2</f>
        <v>4.53289110005528E-2</v>
      </c>
      <c r="E2" s="7">
        <f>B2/4502</f>
        <v>0.40182141270546401</v>
      </c>
      <c r="F2" s="7">
        <f>C2/7374</f>
        <v>0.25644155139680003</v>
      </c>
      <c r="G2" s="7">
        <f>F2-E2</f>
        <v>-0.14537986130866501</v>
      </c>
    </row>
    <row r="3" spans="1:7" ht="14.25">
      <c r="A3" s="8" t="s">
        <v>11</v>
      </c>
      <c r="B3" s="6">
        <v>2203</v>
      </c>
      <c r="C3" s="6">
        <v>4959</v>
      </c>
      <c r="D3" s="7">
        <f t="shared" si="0"/>
        <v>1.2510213345437999</v>
      </c>
      <c r="E3" s="7">
        <f>B3/4502</f>
        <v>0.48933807196801399</v>
      </c>
      <c r="F3" s="7">
        <f>C3/7374</f>
        <v>0.67249796582587495</v>
      </c>
      <c r="G3" s="7">
        <f>F3-E3</f>
        <v>0.18315989385786099</v>
      </c>
    </row>
    <row r="4" spans="1:7" ht="14.25">
      <c r="A4" s="8" t="s">
        <v>12</v>
      </c>
      <c r="B4" s="6">
        <v>490</v>
      </c>
      <c r="C4" s="6">
        <v>497</v>
      </c>
      <c r="D4" s="7">
        <f t="shared" si="0"/>
        <v>1.4285714285714299E-2</v>
      </c>
      <c r="E4" s="7">
        <f>B4/4502</f>
        <v>0.108840515326522</v>
      </c>
      <c r="F4" s="7">
        <f>C4/7374</f>
        <v>6.73989693517765E-2</v>
      </c>
      <c r="G4" s="7">
        <f>F4-E4</f>
        <v>-4.1441545974745003E-2</v>
      </c>
    </row>
    <row r="5" spans="1:7" ht="14.25">
      <c r="A5" s="8" t="s">
        <v>13</v>
      </c>
      <c r="B5" s="9">
        <v>370.36</v>
      </c>
      <c r="C5" s="9">
        <v>421.01</v>
      </c>
      <c r="D5" s="7">
        <f t="shared" si="0"/>
        <v>0.13675882924721899</v>
      </c>
      <c r="E5" s="9"/>
      <c r="F5" s="9"/>
      <c r="G5" s="9"/>
    </row>
    <row r="6" spans="1:7" ht="14.25">
      <c r="A6" s="8" t="s">
        <v>14</v>
      </c>
      <c r="B6" s="6">
        <v>344.13</v>
      </c>
      <c r="C6" s="10">
        <v>402.62</v>
      </c>
      <c r="D6" s="7">
        <f t="shared" si="0"/>
        <v>0.16996483886903199</v>
      </c>
      <c r="E6" s="9"/>
      <c r="F6" s="9"/>
      <c r="G6" s="9"/>
    </row>
    <row r="7" spans="1:7" ht="14.25">
      <c r="A7" s="8" t="s">
        <v>15</v>
      </c>
      <c r="B7" s="11">
        <v>120.11</v>
      </c>
      <c r="C7" s="11">
        <v>76.709999999999994</v>
      </c>
      <c r="D7" s="7">
        <f t="shared" si="0"/>
        <v>-0.361335442511032</v>
      </c>
      <c r="E7" s="9"/>
      <c r="F7" s="9"/>
      <c r="G7" s="9"/>
    </row>
    <row r="9" spans="1:7" ht="14.25">
      <c r="A9" s="4" t="s">
        <v>1</v>
      </c>
      <c r="B9" s="4" t="s">
        <v>2</v>
      </c>
      <c r="C9" s="4" t="s">
        <v>3</v>
      </c>
      <c r="D9" s="4" t="s">
        <v>4</v>
      </c>
      <c r="E9" s="4" t="s">
        <v>5</v>
      </c>
      <c r="F9" s="4" t="s">
        <v>6</v>
      </c>
      <c r="G9" s="4" t="s">
        <v>7</v>
      </c>
    </row>
    <row r="10" spans="1:7" ht="14.25">
      <c r="A10" s="5" t="s">
        <v>9</v>
      </c>
      <c r="B10" s="5">
        <v>1636</v>
      </c>
      <c r="C10" s="5">
        <v>1362</v>
      </c>
      <c r="D10" s="7">
        <f t="shared" ref="D10:D16" si="1">(C10-B10)/B10</f>
        <v>-0.16748166259168701</v>
      </c>
      <c r="E10" s="7">
        <f>B10/(B10+B11+B12)</f>
        <v>0.253142228487166</v>
      </c>
      <c r="F10" s="7">
        <f>C10/(C10+C11+C12)</f>
        <v>0.18976151630876201</v>
      </c>
      <c r="G10" s="7">
        <f t="shared" ref="G10:G12" si="2">F10-E10</f>
        <v>-6.3380712178403395E-2</v>
      </c>
    </row>
    <row r="11" spans="1:7" ht="14.25">
      <c r="A11" s="8" t="s">
        <v>11</v>
      </c>
      <c r="B11" s="5">
        <v>4214</v>
      </c>
      <c r="C11" s="5">
        <v>5198</v>
      </c>
      <c r="D11" s="7">
        <f t="shared" si="1"/>
        <v>0.233507356430944</v>
      </c>
      <c r="E11" s="7">
        <f>B11/(B11+B12+B10)</f>
        <v>0.65204239049200297</v>
      </c>
      <c r="F11" s="7">
        <f>C11/(C10+C11+C12)</f>
        <v>0.72421465622095904</v>
      </c>
      <c r="G11" s="7">
        <f t="shared" si="2"/>
        <v>7.2172265728956603E-2</v>
      </c>
    </row>
    <row r="12" spans="1:7" ht="14.25">
      <c r="A12" s="8" t="s">
        <v>12</v>
      </c>
      <c r="B12" s="12">
        <v>612.77</v>
      </c>
      <c r="C12" s="12">
        <v>617.42999999999995</v>
      </c>
      <c r="D12" s="7">
        <f t="shared" si="1"/>
        <v>7.6048109404833301E-3</v>
      </c>
      <c r="E12" s="13">
        <f>B12/(B12+B11+B10)</f>
        <v>9.4815381020831604E-2</v>
      </c>
      <c r="F12" s="13">
        <f>C12/(C10+C11+C12)</f>
        <v>8.6023827470278397E-2</v>
      </c>
      <c r="G12" s="13">
        <f t="shared" si="2"/>
        <v>-8.7915535505532598E-3</v>
      </c>
    </row>
    <row r="13" spans="1:7" ht="14.25">
      <c r="A13" s="8" t="s">
        <v>13</v>
      </c>
      <c r="B13" s="12">
        <v>418</v>
      </c>
      <c r="C13" s="14">
        <v>486.6</v>
      </c>
      <c r="D13" s="15">
        <f t="shared" si="1"/>
        <v>0.16411483253588499</v>
      </c>
      <c r="E13" s="249" t="s">
        <v>217</v>
      </c>
      <c r="F13" s="250"/>
      <c r="G13" s="250"/>
    </row>
    <row r="14" spans="1:7" ht="14.25">
      <c r="A14" s="8" t="s">
        <v>14</v>
      </c>
      <c r="B14" s="12">
        <v>386.1</v>
      </c>
      <c r="C14" s="14">
        <v>459.9</v>
      </c>
      <c r="D14" s="15">
        <f t="shared" si="1"/>
        <v>0.191142191142191</v>
      </c>
      <c r="E14" s="250"/>
      <c r="F14" s="250"/>
      <c r="G14" s="250"/>
    </row>
    <row r="15" spans="1:7" ht="14.25">
      <c r="A15" s="16">
        <v>46081</v>
      </c>
      <c r="B15" s="8">
        <v>58.2</v>
      </c>
      <c r="C15" s="8">
        <v>23.3</v>
      </c>
      <c r="D15" s="15">
        <f t="shared" si="1"/>
        <v>-0.59965635738831602</v>
      </c>
      <c r="E15" s="250"/>
      <c r="F15" s="250"/>
      <c r="G15" s="250"/>
    </row>
    <row r="16" spans="1:7" ht="14.25">
      <c r="A16" s="8" t="s">
        <v>218</v>
      </c>
      <c r="B16" s="8">
        <v>50.1</v>
      </c>
      <c r="C16" s="8">
        <v>21.8</v>
      </c>
      <c r="D16" s="15">
        <f t="shared" si="1"/>
        <v>-0.56487025948103797</v>
      </c>
      <c r="E16" s="250"/>
      <c r="F16" s="250"/>
      <c r="G16" s="250"/>
    </row>
    <row r="19" spans="1:7" ht="14.25">
      <c r="A19" s="4" t="s">
        <v>1</v>
      </c>
      <c r="B19" s="4" t="s">
        <v>2</v>
      </c>
      <c r="C19" s="4" t="s">
        <v>3</v>
      </c>
      <c r="D19" s="4" t="s">
        <v>4</v>
      </c>
      <c r="E19" s="4" t="s">
        <v>5</v>
      </c>
      <c r="F19" s="4" t="s">
        <v>6</v>
      </c>
      <c r="G19" s="4" t="s">
        <v>7</v>
      </c>
    </row>
    <row r="20" spans="1:7" ht="14.25">
      <c r="A20" s="5" t="s">
        <v>9</v>
      </c>
      <c r="B20" s="17">
        <v>2913</v>
      </c>
      <c r="C20" s="17">
        <v>3107</v>
      </c>
      <c r="D20" s="7">
        <f t="shared" ref="D20:D24" si="3">(C20-B20)/B20</f>
        <v>6.6598008925506394E-2</v>
      </c>
      <c r="E20" s="7">
        <f>B20/(B20+B21+B22)</f>
        <v>0.415727130012844</v>
      </c>
      <c r="F20" s="7">
        <f>C20/(C20+C21+C22)</f>
        <v>0.32812334987855102</v>
      </c>
      <c r="G20" s="7">
        <f t="shared" ref="G20:G22" si="4">F20-E20</f>
        <v>-8.7603780134293194E-2</v>
      </c>
    </row>
    <row r="21" spans="1:7" ht="14.25">
      <c r="A21" s="8" t="s">
        <v>11</v>
      </c>
      <c r="B21" s="17">
        <v>3395</v>
      </c>
      <c r="C21" s="17">
        <v>5543</v>
      </c>
      <c r="D21" s="7">
        <f t="shared" si="3"/>
        <v>0.63269513991163495</v>
      </c>
      <c r="E21" s="7">
        <f>B21/(B21+B22+B20)</f>
        <v>0.48451548451548498</v>
      </c>
      <c r="F21" s="7">
        <f>C21/(C20+C21+C22)</f>
        <v>0.58538388425388099</v>
      </c>
      <c r="G21" s="7">
        <f t="shared" si="4"/>
        <v>0.10086839973839699</v>
      </c>
    </row>
    <row r="22" spans="1:7" ht="14.25">
      <c r="A22" s="8" t="s">
        <v>12</v>
      </c>
      <c r="B22" s="17">
        <v>699</v>
      </c>
      <c r="C22" s="17">
        <v>819</v>
      </c>
      <c r="D22" s="7">
        <f t="shared" si="3"/>
        <v>0.17167381974248899</v>
      </c>
      <c r="E22" s="13">
        <f>B22/(B22+B21+B20)</f>
        <v>9.9757385471671206E-2</v>
      </c>
      <c r="F22" s="13">
        <f>C22/(C20+C21+C22)</f>
        <v>8.6492765867567795E-2</v>
      </c>
      <c r="G22" s="13">
        <f t="shared" si="4"/>
        <v>-1.32646196041033E-2</v>
      </c>
    </row>
    <row r="23" spans="1:7" ht="14.25">
      <c r="A23" s="8" t="s">
        <v>13</v>
      </c>
      <c r="B23" s="18">
        <v>441</v>
      </c>
      <c r="C23" s="18">
        <v>570</v>
      </c>
      <c r="D23" s="7">
        <f t="shared" si="3"/>
        <v>0.29251700680272102</v>
      </c>
      <c r="E23" s="249" t="s">
        <v>280</v>
      </c>
      <c r="F23" s="250"/>
      <c r="G23" s="250"/>
    </row>
    <row r="24" spans="1:7" ht="14.25">
      <c r="A24" s="19" t="s">
        <v>14</v>
      </c>
      <c r="B24" s="20">
        <v>410</v>
      </c>
      <c r="C24" s="21">
        <v>530</v>
      </c>
      <c r="D24" s="7">
        <f t="shared" si="3"/>
        <v>0.292682926829268</v>
      </c>
      <c r="E24" s="250"/>
      <c r="F24" s="250"/>
      <c r="G24" s="250"/>
    </row>
    <row r="27" spans="1:7" ht="14.25">
      <c r="A27" s="4" t="s">
        <v>1</v>
      </c>
      <c r="B27" s="4" t="s">
        <v>2</v>
      </c>
      <c r="C27" s="4" t="s">
        <v>3</v>
      </c>
      <c r="D27" s="4" t="s">
        <v>4</v>
      </c>
      <c r="E27" s="4" t="s">
        <v>5</v>
      </c>
      <c r="F27" s="4" t="s">
        <v>6</v>
      </c>
      <c r="G27" s="4" t="s">
        <v>7</v>
      </c>
    </row>
    <row r="28" spans="1:7" ht="14.25">
      <c r="A28" s="5" t="s">
        <v>9</v>
      </c>
      <c r="B28" s="17">
        <f t="shared" ref="B28:C32" si="5">B2+B10+B20</f>
        <v>6358</v>
      </c>
      <c r="C28" s="17">
        <f t="shared" si="5"/>
        <v>6360</v>
      </c>
      <c r="D28" s="7">
        <f t="shared" ref="D28:D32" si="6">(C28-B28)/B28</f>
        <v>3.14564328405159E-4</v>
      </c>
      <c r="E28" s="7">
        <f>B28/(B28+B29+B30)</f>
        <v>0.353777062582038</v>
      </c>
      <c r="F28" s="7">
        <f>C28/(C28+C29+C30)</f>
        <v>0.26507256361428899</v>
      </c>
      <c r="G28" s="7">
        <f t="shared" ref="G28:G30" si="7">F28-E28</f>
        <v>-8.8704498967748999E-2</v>
      </c>
    </row>
    <row r="29" spans="1:7" ht="14.25">
      <c r="A29" s="8" t="s">
        <v>11</v>
      </c>
      <c r="B29" s="17">
        <f t="shared" si="5"/>
        <v>9812</v>
      </c>
      <c r="C29" s="17">
        <f t="shared" si="5"/>
        <v>15700</v>
      </c>
      <c r="D29" s="7">
        <f t="shared" si="6"/>
        <v>0.60008153281695897</v>
      </c>
      <c r="E29" s="7">
        <f>B29/(B29+B30+B28)</f>
        <v>0.54596736993629402</v>
      </c>
      <c r="F29" s="7">
        <f>C29/(C28+C29+C30)</f>
        <v>0.65434579382772695</v>
      </c>
      <c r="G29" s="7">
        <f t="shared" si="7"/>
        <v>0.108378423891432</v>
      </c>
    </row>
    <row r="30" spans="1:7" ht="14.25">
      <c r="A30" s="8" t="s">
        <v>12</v>
      </c>
      <c r="B30" s="17">
        <f t="shared" si="5"/>
        <v>1801.77</v>
      </c>
      <c r="C30" s="17">
        <f t="shared" si="5"/>
        <v>1933.43</v>
      </c>
      <c r="D30" s="7">
        <f t="shared" si="6"/>
        <v>7.3072589731208698E-2</v>
      </c>
      <c r="E30" s="13">
        <f>B30/(B30+B29+B28)</f>
        <v>0.100255567481667</v>
      </c>
      <c r="F30" s="13">
        <f>C30/(C28+C29+C30)</f>
        <v>8.0581642557983599E-2</v>
      </c>
      <c r="G30" s="13">
        <f t="shared" si="7"/>
        <v>-1.96739249236835E-2</v>
      </c>
    </row>
    <row r="31" spans="1:7" ht="14.25">
      <c r="A31" s="8" t="s">
        <v>13</v>
      </c>
      <c r="B31" s="17">
        <f t="shared" si="5"/>
        <v>1229.3599999999999</v>
      </c>
      <c r="C31" s="17">
        <f t="shared" si="5"/>
        <v>1477.61</v>
      </c>
      <c r="D31" s="7">
        <f t="shared" si="6"/>
        <v>0.20193433981909301</v>
      </c>
      <c r="E31" s="249"/>
      <c r="F31" s="250"/>
      <c r="G31" s="250"/>
    </row>
    <row r="32" spans="1:7" ht="14.25">
      <c r="A32" s="19" t="s">
        <v>14</v>
      </c>
      <c r="B32" s="17">
        <f t="shared" si="5"/>
        <v>1140.23</v>
      </c>
      <c r="C32" s="17">
        <f t="shared" si="5"/>
        <v>1392.52</v>
      </c>
      <c r="D32" s="7">
        <f t="shared" si="6"/>
        <v>0.22126237688887301</v>
      </c>
      <c r="E32" s="250"/>
      <c r="F32" s="250"/>
      <c r="G32" s="250"/>
    </row>
    <row r="33" spans="1:7">
      <c r="E33">
        <f>D33/3</f>
        <v>0</v>
      </c>
    </row>
    <row r="34" spans="1:7">
      <c r="E34">
        <f>D34/3</f>
        <v>0</v>
      </c>
    </row>
    <row r="36" spans="1:7" ht="14.25">
      <c r="A36" s="4" t="s">
        <v>1</v>
      </c>
      <c r="B36" s="4" t="s">
        <v>2</v>
      </c>
      <c r="C36" s="4" t="s">
        <v>3</v>
      </c>
      <c r="D36" s="4" t="s">
        <v>4</v>
      </c>
      <c r="E36" s="4" t="s">
        <v>5</v>
      </c>
      <c r="F36" s="4" t="s">
        <v>6</v>
      </c>
      <c r="G36" s="4" t="s">
        <v>7</v>
      </c>
    </row>
    <row r="37" spans="1:7" ht="14.25">
      <c r="A37" s="5" t="s">
        <v>9</v>
      </c>
      <c r="B37" s="17">
        <v>1214</v>
      </c>
      <c r="C37" s="17">
        <v>1512</v>
      </c>
      <c r="D37" s="7">
        <f t="shared" ref="D37:D41" si="8">(C37-B37)/B37</f>
        <v>0.24546952224052701</v>
      </c>
      <c r="E37" s="7">
        <f>B37/(B37+B38+B39)</f>
        <v>0.26775474194971299</v>
      </c>
      <c r="F37" s="7">
        <f>C37/(C37+C38+C39)</f>
        <v>0.18636755823986201</v>
      </c>
      <c r="G37" s="7">
        <f t="shared" ref="G37:G39" si="9">F37-E37</f>
        <v>-8.1387183709851305E-2</v>
      </c>
    </row>
    <row r="38" spans="1:7" ht="14.25">
      <c r="A38" s="8" t="s">
        <v>11</v>
      </c>
      <c r="B38" s="17">
        <v>2692</v>
      </c>
      <c r="C38" s="17">
        <v>6011</v>
      </c>
      <c r="D38" s="7">
        <f t="shared" si="8"/>
        <v>1.23291233283804</v>
      </c>
      <c r="E38" s="7">
        <f>B38/(B38+B39+B37)</f>
        <v>0.59373621526246101</v>
      </c>
      <c r="F38" s="7">
        <f>C38/(C37+C38+C39)</f>
        <v>0.74090965117712304</v>
      </c>
      <c r="G38" s="7">
        <f t="shared" si="9"/>
        <v>0.147173435914662</v>
      </c>
    </row>
    <row r="39" spans="1:7" ht="14.25">
      <c r="A39" s="8" t="s">
        <v>12</v>
      </c>
      <c r="B39" s="17">
        <v>628</v>
      </c>
      <c r="C39" s="17">
        <v>590</v>
      </c>
      <c r="D39" s="7">
        <f t="shared" si="8"/>
        <v>-6.0509554140127403E-2</v>
      </c>
      <c r="E39" s="13">
        <f>B39/(B39+B38+B37)</f>
        <v>0.138509042787825</v>
      </c>
      <c r="F39" s="13">
        <f>C39/(C37+C38+C39)</f>
        <v>7.2722790583014896E-2</v>
      </c>
      <c r="G39" s="13">
        <f t="shared" si="9"/>
        <v>-6.5786252204810394E-2</v>
      </c>
    </row>
    <row r="40" spans="1:7" ht="14.25">
      <c r="A40" s="8" t="s">
        <v>13</v>
      </c>
      <c r="D40" s="7" t="e">
        <f t="shared" si="8"/>
        <v>#DIV/0!</v>
      </c>
      <c r="E40" s="249"/>
      <c r="F40" s="250"/>
      <c r="G40" s="250"/>
    </row>
    <row r="41" spans="1:7" ht="14.25">
      <c r="A41" s="19" t="s">
        <v>14</v>
      </c>
      <c r="D41" s="7" t="e">
        <f t="shared" si="8"/>
        <v>#DIV/0!</v>
      </c>
      <c r="E41" s="250"/>
      <c r="F41" s="250"/>
      <c r="G41" s="250"/>
    </row>
    <row r="43" spans="1:7" ht="14.25">
      <c r="A43" s="5" t="s">
        <v>9</v>
      </c>
      <c r="B43" s="17">
        <v>1685</v>
      </c>
      <c r="C43" s="17">
        <v>1561</v>
      </c>
      <c r="D43" s="7">
        <f t="shared" ref="D43:D45" si="10">(C43-B43)/B43</f>
        <v>-7.3590504451038596E-2</v>
      </c>
      <c r="E43" s="7">
        <f>B43/(B43+B44+B45)</f>
        <v>0.31566129636568002</v>
      </c>
      <c r="F43" s="7">
        <f>C43/(C43+C44+C45)</f>
        <v>0.17946654403311099</v>
      </c>
      <c r="G43" s="7">
        <f t="shared" ref="G43:G45" si="11">F43-E43</f>
        <v>-0.136194752332569</v>
      </c>
    </row>
    <row r="44" spans="1:7" ht="14.25">
      <c r="A44" s="8" t="s">
        <v>11</v>
      </c>
      <c r="B44" s="17">
        <v>3025</v>
      </c>
      <c r="C44" s="17">
        <v>6547</v>
      </c>
      <c r="D44" s="7">
        <f t="shared" si="10"/>
        <v>1.1642975206611601</v>
      </c>
      <c r="E44" s="7">
        <f>B44/(B44+B45+B43)</f>
        <v>0.56669164481079104</v>
      </c>
      <c r="F44" s="7">
        <f>C44/(C43+C44+C45)</f>
        <v>0.75270177052195897</v>
      </c>
      <c r="G44" s="7">
        <f t="shared" si="11"/>
        <v>0.18601012571116801</v>
      </c>
    </row>
    <row r="45" spans="1:7" ht="14.25">
      <c r="A45" s="8" t="s">
        <v>12</v>
      </c>
      <c r="B45" s="17">
        <v>628</v>
      </c>
      <c r="C45" s="17">
        <v>590</v>
      </c>
      <c r="D45" s="7">
        <f t="shared" si="10"/>
        <v>-6.0509554140127403E-2</v>
      </c>
      <c r="E45" s="13">
        <f>B45/(B45+B44+B43)</f>
        <v>0.11764705882352899</v>
      </c>
      <c r="F45" s="13">
        <f>C45/(C43+C44+C45)</f>
        <v>6.7831685444929901E-2</v>
      </c>
      <c r="G45" s="13">
        <f t="shared" si="11"/>
        <v>-4.9815373378599502E-2</v>
      </c>
    </row>
  </sheetData>
  <sheetProtection formatCells="0" formatColumns="0" formatRows="0" insertColumns="0" insertRows="0" insertHyperlinks="0" deleteColumns="0" deleteRows="0" sort="0" autoFilter="0" pivotTables="0"/>
  <mergeCells count="4">
    <mergeCell ref="E13:G16"/>
    <mergeCell ref="E23:G24"/>
    <mergeCell ref="E31:G32"/>
    <mergeCell ref="E40:G41"/>
  </mergeCells>
  <phoneticPr fontId="15" type="noConversion"/>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item1.xml><?xml version="1.0" encoding="utf-8"?>
<pixelators xmlns="https://web.wps.cn/et/2018/main" xmlns:s="http://schemas.openxmlformats.org/spreadsheetml/2006/main">
  <pixelatorList sheetStid="1"/>
  <pixelatorList sheetStid="3"/>
  <pixelatorList sheetStid="5"/>
  <pixelatorList sheetStid="7"/>
  <pixelatorList sheetStid="12"/>
  <pixelatorList sheetStid="26"/>
  <pixelatorList sheetStid="30"/>
  <pixelatorList sheetStid="8"/>
  <pixelatorList sheetStid="10"/>
  <pixelatorList sheetStid="17"/>
  <pixelatorList sheetStid="20"/>
  <pixelatorList sheetStid="24"/>
  <pixelatorList sheetStid="22"/>
  <pixelatorList sheetStid="28"/>
  <pixelatorList sheetStid="32"/>
  <pixelatorList sheetStid="14"/>
  <pixelatorList sheetStid="34"/>
  <pixelatorList sheetStid="33"/>
</pixelators>
</file>

<file path=customXml/item2.xml><?xml version="1.0" encoding="utf-8"?>
<woProps xmlns="https://web.wps.cn/et/2018/main" xmlns:s="http://schemas.openxmlformats.org/spreadsheetml/2006/main">
  <woSheetsProps>
    <woSheetProps sheetStid="1" interlineOnOff="0" interlineColor="0" isDbSheet="0" isDashBoardSheet="0" isDbDashBoardSheet="0" isFlexPaperSheet="0">
      <cellprotection/>
      <appEtDbRelations/>
    </woSheetProps>
    <woSheetProps sheetStid="3" interlineOnOff="0" interlineColor="0" isDbSheet="0" isDashBoardSheet="0" isDbDashBoardSheet="0" isFlexPaperSheet="0">
      <cellprotection/>
      <appEtDbRelations/>
    </woSheetProps>
    <woSheetProps sheetStid="5" interlineOnOff="0" interlineColor="0" isDbSheet="0" isDashBoardSheet="0" isDbDashBoardSheet="0" isFlexPaperSheet="0">
      <cellprotection/>
      <appEtDbRelations/>
    </woSheetProps>
    <woSheetProps sheetStid="7" interlineOnOff="0" interlineColor="0" isDbSheet="0" isDashBoardSheet="0" isDbDashBoardSheet="0" isFlexPaperSheet="0">
      <cellprotection/>
      <appEtDbRelations/>
    </woSheetProps>
    <woSheetProps sheetStid="12" interlineOnOff="0" interlineColor="0" isDbSheet="0" isDashBoardSheet="0" isDbDashBoardSheet="0" isFlexPaperSheet="0">
      <cellprotection/>
      <appEtDbRelations/>
    </woSheetProps>
    <woSheetProps sheetStid="26" interlineOnOff="0" interlineColor="0" isDbSheet="0" isDashBoardSheet="0" isDbDashBoardSheet="0" isFlexPaperSheet="0">
      <cellprotection/>
      <appEtDbRelations/>
    </woSheetProps>
    <woSheetProps sheetStid="30" interlineOnOff="0" interlineColor="0" isDbSheet="0" isDashBoardSheet="0" isDbDashBoardSheet="0" isFlexPaperSheet="0">
      <cellprotection/>
      <appEtDbRelations/>
    </woSheetProps>
    <woSheetProps sheetStid="8" interlineOnOff="0" interlineColor="0" isDbSheet="0" isDashBoardSheet="0" isDbDashBoardSheet="0" isFlexPaperSheet="0">
      <cellprotection/>
      <appEtDbRelations/>
    </woSheetProps>
    <woSheetProps sheetStid="10" interlineOnOff="0" interlineColor="0" isDbSheet="0" isDashBoardSheet="0" isDbDashBoardSheet="0" isFlexPaperSheet="0">
      <cellprotection/>
      <appEtDbRelations/>
    </woSheetProps>
    <woSheetProps sheetStid="17" interlineOnOff="0" interlineColor="0" isDbSheet="0" isDashBoardSheet="0" isDbDashBoardSheet="0" isFlexPaperSheet="0">
      <cellprotection/>
      <appEtDbRelations/>
    </woSheetProps>
    <woSheetProps sheetStid="20" interlineOnOff="0" interlineColor="0" isDbSheet="0" isDashBoardSheet="0" isDbDashBoardSheet="0" isFlexPaperSheet="0">
      <cellprotection/>
      <appEtDbRelations/>
    </woSheetProps>
    <woSheetProps sheetStid="24" interlineOnOff="0" interlineColor="0" isDbSheet="0" isDashBoardSheet="0" isDbDashBoardSheet="0" isFlexPaperSheet="0">
      <cellprotection/>
      <appEtDbRelations/>
    </woSheetProps>
    <woSheetProps sheetStid="22" interlineOnOff="0" interlineColor="0" isDbSheet="0" isDashBoardSheet="0" isDbDashBoardSheet="0" isFlexPaperSheet="0">
      <cellprotection/>
      <appEtDbRelations/>
    </woSheetProps>
    <woSheetProps sheetStid="28" interlineOnOff="0" interlineColor="0" isDbSheet="0" isDashBoardSheet="0" isDbDashBoardSheet="0" isFlexPaperSheet="0">
      <cellprotection/>
      <appEtDbRelations/>
    </woSheetProps>
    <woSheetProps sheetStid="32" interlineOnOff="0" interlineColor="0" isDbSheet="0" isDashBoardSheet="0" isDbDashBoardSheet="0" isFlexPaperSheet="0">
      <cellprotection/>
      <appEtDbRelations/>
    </woSheetProps>
    <woSheetProps sheetStid="14" interlineOnOff="0" interlineColor="0" isDbSheet="0" isDashBoardSheet="0" isDbDashBoardSheet="0" isFlexPaperSheet="0">
      <cellprotection/>
      <appEtDbRelations/>
    </woSheetProps>
    <woSheetProps sheetStid="34" interlineOnOff="0" interlineColor="0" isDbSheet="0" isDashBoardSheet="0" isDbDashBoardSheet="0" isFlexPaperSheet="0">
      <cellprotection/>
      <appEtDbRelations/>
    </woSheetProps>
  </woSheetsProps>
  <woBookProps>
    <bookSettings fileId="490867520203" isFilterShared="1" woEtMtcEnabled="0" coreConquerUserId="" isAutoUpdatePaused="0" filterType="conn" isMergeTasksAutoUpdate="0" isInserPicAsAttachment="0" supportDbFmlaDisp="0"/>
  </woBookProps>
</woProps>
</file>

<file path=customXml/itemProps1.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16</vt:i4>
      </vt:variant>
    </vt:vector>
  </HeadingPairs>
  <TitlesOfParts>
    <vt:vector size="16" baseType="lpstr">
      <vt:lpstr>1月</vt:lpstr>
      <vt:lpstr>2月1日-3日</vt:lpstr>
      <vt:lpstr>2月1日-10日</vt:lpstr>
      <vt:lpstr>2月</vt:lpstr>
      <vt:lpstr>3月</vt:lpstr>
      <vt:lpstr>5月1日-27日</vt:lpstr>
      <vt:lpstr>5月</vt:lpstr>
      <vt:lpstr>3月1日-9日</vt:lpstr>
      <vt:lpstr>3月1日-23日</vt:lpstr>
      <vt:lpstr>4月1日-13日</vt:lpstr>
      <vt:lpstr>4月1日-27日 </vt:lpstr>
      <vt:lpstr>4月1日-30日</vt:lpstr>
      <vt:lpstr>5月1日-11日</vt:lpstr>
      <vt:lpstr>6.1日-6.8日</vt:lpstr>
      <vt:lpstr>6.1-6.22日周会</vt:lpstr>
      <vt:lpstr>市占</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EDY</dc:creator>
  <cp:lastModifiedBy>玉 孙</cp:lastModifiedBy>
  <dcterms:created xsi:type="dcterms:W3CDTF">2026-02-25T17:32:00Z</dcterms:created>
  <dcterms:modified xsi:type="dcterms:W3CDTF">2026-07-03T01:45:36Z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90B51AD192604016A5441D6A072BB63D_11</vt:lpwstr>
  </property>
  <property fmtid="{D5CDD505-2E9C-101B-9397-08002B2CF9AE}" pid="3" name="KSOProductBuildVer">
    <vt:lpwstr>2052-12.9.0.27482</vt:lpwstr>
  </property>
  <property fmtid="{D5CDD505-2E9C-101B-9397-08002B2CF9AE}" pid="4" name="CalculationRule">
    <vt:i4>1</vt:i4>
  </property>
</Properties>
</file>